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/Google Drive/Mercor/Credit Card Fraud Spreadsheet/"/>
    </mc:Choice>
  </mc:AlternateContent>
  <xr:revisionPtr revIDLastSave="0" documentId="13_ncr:1_{0823E13C-07F7-0D48-92EF-56184690CE97}" xr6:coauthVersionLast="47" xr6:coauthVersionMax="47" xr10:uidLastSave="{00000000-0000-0000-0000-000000000000}"/>
  <bookViews>
    <workbookView xWindow="0" yWindow="760" windowWidth="34560" windowHeight="20340" activeTab="3" xr2:uid="{2ED9BF38-12A3-4245-BB88-FA1FBE075E26}"/>
  </bookViews>
  <sheets>
    <sheet name="Location Impute Tables" sheetId="2" r:id="rId1"/>
    <sheet name="Amount Impute Table" sheetId="3" r:id="rId2"/>
    <sheet name="fraud_data" sheetId="1" r:id="rId3"/>
    <sheet name="Results" sheetId="4" r:id="rId4"/>
  </sheets>
  <definedNames>
    <definedName name="_xlnm._FilterDatabase" localSheetId="2" hidden="1">fraud_data!$A$1:$G$501</definedName>
  </definedNames>
  <calcPr calcId="191029"/>
  <pivotCaches>
    <pivotCache cacheId="35" r:id="rId5"/>
    <pivotCache cacheId="42" r:id="rId6"/>
    <pivotCache cacheId="5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1" i="1"/>
  <c r="I142" i="1"/>
  <c r="I143" i="1"/>
  <c r="I144" i="1"/>
  <c r="I145" i="1"/>
  <c r="I146" i="1"/>
  <c r="I147" i="1"/>
  <c r="I148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3" i="1"/>
  <c r="I284" i="1"/>
  <c r="I285" i="1"/>
  <c r="I286" i="1"/>
  <c r="I287" i="1"/>
  <c r="I288" i="1"/>
  <c r="I289" i="1"/>
  <c r="I290" i="1"/>
  <c r="I292" i="1"/>
  <c r="I293" i="1"/>
  <c r="I294" i="1"/>
  <c r="I296" i="1"/>
  <c r="I297" i="1"/>
  <c r="I298" i="1"/>
  <c r="I299" i="1"/>
  <c r="I300" i="1"/>
  <c r="I301" i="1"/>
  <c r="I302" i="1"/>
  <c r="I303" i="1"/>
  <c r="I304" i="1"/>
  <c r="I305" i="1"/>
  <c r="I306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I17" i="1" s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I34" i="1" s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I111" i="1" s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I140" i="1" s="1"/>
  <c r="H141" i="1"/>
  <c r="H142" i="1"/>
  <c r="H143" i="1"/>
  <c r="H144" i="1"/>
  <c r="H145" i="1"/>
  <c r="H146" i="1"/>
  <c r="H147" i="1"/>
  <c r="H148" i="1"/>
  <c r="H149" i="1"/>
  <c r="I149" i="1" s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I168" i="1" s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I282" i="1" s="1"/>
  <c r="H283" i="1"/>
  <c r="H284" i="1"/>
  <c r="H285" i="1"/>
  <c r="H286" i="1"/>
  <c r="H287" i="1"/>
  <c r="H288" i="1"/>
  <c r="H289" i="1"/>
  <c r="H290" i="1"/>
  <c r="H291" i="1"/>
  <c r="I291" i="1" s="1"/>
  <c r="H292" i="1"/>
  <c r="H293" i="1"/>
  <c r="H294" i="1"/>
  <c r="H295" i="1"/>
  <c r="I295" i="1" s="1"/>
  <c r="H296" i="1"/>
  <c r="H297" i="1"/>
  <c r="H298" i="1"/>
  <c r="H299" i="1"/>
  <c r="H300" i="1"/>
  <c r="H301" i="1"/>
  <c r="H302" i="1"/>
  <c r="H303" i="1"/>
  <c r="H304" i="1"/>
  <c r="H305" i="1"/>
  <c r="H306" i="1"/>
  <c r="H307" i="1"/>
  <c r="I307" i="1" s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I320" i="1" s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I387" i="1" s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I413" i="1" s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I463" i="1" s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J26" i="2"/>
  <c r="J27" i="2"/>
  <c r="J28" i="2"/>
  <c r="J29" i="2"/>
  <c r="J25" i="2"/>
  <c r="I36" i="2"/>
  <c r="I37" i="2"/>
  <c r="I38" i="2"/>
  <c r="I39" i="2"/>
  <c r="I35" i="2"/>
  <c r="H36" i="2"/>
  <c r="H37" i="2"/>
  <c r="H38" i="2"/>
  <c r="H39" i="2"/>
  <c r="H35" i="2"/>
  <c r="I26" i="2"/>
  <c r="I27" i="2"/>
  <c r="I28" i="2"/>
  <c r="I29" i="2"/>
  <c r="I25" i="2"/>
  <c r="H26" i="2"/>
  <c r="H27" i="2"/>
  <c r="H28" i="2"/>
  <c r="H29" i="2"/>
  <c r="H25" i="2"/>
  <c r="I6" i="2"/>
  <c r="I7" i="2"/>
  <c r="H16" i="2"/>
  <c r="I16" i="2" s="1"/>
  <c r="H17" i="2"/>
  <c r="I17" i="2" s="1"/>
  <c r="H18" i="2"/>
  <c r="I18" i="2" s="1"/>
  <c r="H19" i="2"/>
  <c r="I19" i="2" s="1"/>
  <c r="H15" i="2"/>
  <c r="I15" i="2" s="1"/>
  <c r="H6" i="2"/>
  <c r="H7" i="2"/>
  <c r="H8" i="2"/>
  <c r="I8" i="2" s="1"/>
  <c r="J8" i="2" s="1"/>
  <c r="H9" i="2"/>
  <c r="I9" i="2" s="1"/>
  <c r="J9" i="2" s="1"/>
  <c r="H5" i="2"/>
  <c r="I5" i="2" s="1"/>
  <c r="J5" i="2" s="1"/>
  <c r="J6" i="2" l="1"/>
  <c r="J7" i="2"/>
</calcChain>
</file>

<file path=xl/sharedStrings.xml><?xml version="1.0" encoding="utf-8"?>
<sst xmlns="http://schemas.openxmlformats.org/spreadsheetml/2006/main" count="1104" uniqueCount="30">
  <si>
    <t>TransactionID</t>
  </si>
  <si>
    <t>Amount</t>
  </si>
  <si>
    <t>Time</t>
  </si>
  <si>
    <t>Location</t>
  </si>
  <si>
    <t>MerchantCategory</t>
  </si>
  <si>
    <t>CardHolderAge</t>
  </si>
  <si>
    <t>IsFraud</t>
  </si>
  <si>
    <t>Chicago</t>
  </si>
  <si>
    <t>Electronics</t>
  </si>
  <si>
    <t>Los Angeles</t>
  </si>
  <si>
    <t>Miami</t>
  </si>
  <si>
    <t>Clothing</t>
  </si>
  <si>
    <t>Groceries</t>
  </si>
  <si>
    <t>Houston</t>
  </si>
  <si>
    <t>Travel</t>
  </si>
  <si>
    <t>New York</t>
  </si>
  <si>
    <t>Entertainment</t>
  </si>
  <si>
    <t>Column Labels</t>
  </si>
  <si>
    <t>(blank)</t>
  </si>
  <si>
    <t>Row Labels</t>
  </si>
  <si>
    <t>Count of MerchantCategory</t>
  </si>
  <si>
    <t>max</t>
  </si>
  <si>
    <t>Average of Amount</t>
  </si>
  <si>
    <t>0.0</t>
  </si>
  <si>
    <t>num occurrances</t>
  </si>
  <si>
    <t>Count of Location</t>
  </si>
  <si>
    <t>Location imputed</t>
  </si>
  <si>
    <t>Amount  Imputed</t>
  </si>
  <si>
    <t>Average of Amount  Imputed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</si>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</sst>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2" formatCode="0.00"/>
    </dxf>
    <dxf>
      <alignment horizontal="right"/>
    </dxf>
    <dxf>
      <alignment horizontal="right"/>
    </dxf>
    <dxf>
      <numFmt numFmtId="2" formatCode="0.00"/>
    </dxf>
    <dxf>
      <numFmt numFmtId="2" formatCode="0.00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 Bowen" refreshedDate="45975.732833680559" createdVersion="8" refreshedVersion="8" minRefreshableVersion="3" recordCount="500" xr:uid="{2C2976F1-3599-E34F-8121-0246C594DBBB}">
  <cacheSource type="worksheet">
    <worksheetSource ref="A1:G501" sheet="fraud_data"/>
  </cacheSource>
  <cacheFields count="7">
    <cacheField name="TransactionID" numFmtId="0">
      <sharedItems containsSemiMixedTypes="0" containsString="0" containsNumber="1" containsInteger="1" minValue="1" maxValue="500"/>
    </cacheField>
    <cacheField name="Amount" numFmtId="0">
      <sharedItems containsString="0" containsBlank="1" containsNumber="1" minValue="6.06" maxValue="9691.5786432565801"/>
    </cacheField>
    <cacheField name="Time" numFmtId="0">
      <sharedItems containsSemiMixedTypes="0" containsString="0" containsNumber="1" containsInteger="1" minValue="55" maxValue="86066"/>
    </cacheField>
    <cacheField name="Location" numFmtId="0">
      <sharedItems containsBlank="1" count="6">
        <s v="Chicago"/>
        <s v="Los Angeles"/>
        <s v="Miami"/>
        <s v="Houston"/>
        <s v="New York"/>
        <m/>
      </sharedItems>
    </cacheField>
    <cacheField name="MerchantCategory" numFmtId="0">
      <sharedItems count="5">
        <s v="Electronics"/>
        <s v="Clothing"/>
        <s v="Groceries"/>
        <s v="Travel"/>
        <s v="Entertainment"/>
      </sharedItems>
    </cacheField>
    <cacheField name="CardHolderAge" numFmtId="0">
      <sharedItems containsString="0" containsBlank="1" containsNumber="1" containsInteger="1" minValue="5" maxValue="120"/>
    </cacheField>
    <cacheField name="IsFrau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 Bowen" refreshedDate="45975.774208564813" createdVersion="8" refreshedVersion="8" minRefreshableVersion="3" recordCount="500" xr:uid="{2D3AADBD-B93D-7544-B908-AB3B0520973B}">
  <cacheSource type="worksheet">
    <worksheetSource ref="A1:H501" sheet="fraud_data"/>
  </cacheSource>
  <cacheFields count="8">
    <cacheField name="TransactionID" numFmtId="0">
      <sharedItems containsSemiMixedTypes="0" containsString="0" containsNumber="1" containsInteger="1" minValue="1" maxValue="500"/>
    </cacheField>
    <cacheField name="Amount" numFmtId="0">
      <sharedItems containsString="0" containsBlank="1" containsNumber="1" minValue="6.06" maxValue="9691.5786432565801"/>
    </cacheField>
    <cacheField name="Time" numFmtId="0">
      <sharedItems containsSemiMixedTypes="0" containsString="0" containsNumber="1" containsInteger="1" minValue="55" maxValue="86066"/>
    </cacheField>
    <cacheField name="Location" numFmtId="0">
      <sharedItems containsBlank="1"/>
    </cacheField>
    <cacheField name="MerchantCategory" numFmtId="0">
      <sharedItems count="5">
        <s v="Electronics"/>
        <s v="Clothing"/>
        <s v="Groceries"/>
        <s v="Travel"/>
        <s v="Entertainment"/>
      </sharedItems>
    </cacheField>
    <cacheField name="CardHolderAge" numFmtId="0">
      <sharedItems containsString="0" containsBlank="1" containsNumber="1" containsInteger="1" minValue="5" maxValue="120"/>
    </cacheField>
    <cacheField name="IsFraud" numFmtId="0">
      <sharedItems containsSemiMixedTypes="0" containsString="0" containsNumber="1" containsInteger="1" minValue="0" maxValue="1" count="2">
        <n v="0"/>
        <n v="1"/>
      </sharedItems>
    </cacheField>
    <cacheField name="Location imputed" numFmtId="0">
      <sharedItems count="5">
        <s v="Chicago"/>
        <s v="Los Angeles"/>
        <s v="Miami"/>
        <s v="Houston"/>
        <s v="New Y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 Bowen" refreshedDate="45975.782530902776" createdVersion="8" refreshedVersion="8" minRefreshableVersion="3" recordCount="500" xr:uid="{B126CF47-6204-004B-8387-FECE36E5AE97}">
  <cacheSource type="worksheet">
    <worksheetSource ref="A1:I501" sheet="fraud_data"/>
  </cacheSource>
  <cacheFields count="9">
    <cacheField name="TransactionID" numFmtId="0">
      <sharedItems containsSemiMixedTypes="0" containsString="0" containsNumber="1" containsInteger="1" minValue="1" maxValue="500"/>
    </cacheField>
    <cacheField name="Amount" numFmtId="0">
      <sharedItems containsString="0" containsBlank="1" containsNumber="1" minValue="6.06" maxValue="9691.5786432565801"/>
    </cacheField>
    <cacheField name="Time" numFmtId="0">
      <sharedItems containsSemiMixedTypes="0" containsString="0" containsNumber="1" containsInteger="1" minValue="55" maxValue="86066"/>
    </cacheField>
    <cacheField name="Location" numFmtId="0">
      <sharedItems containsBlank="1"/>
    </cacheField>
    <cacheField name="MerchantCategory" numFmtId="0">
      <sharedItems count="5">
        <s v="Electronics"/>
        <s v="Clothing"/>
        <s v="Groceries"/>
        <s v="Travel"/>
        <s v="Entertainment"/>
      </sharedItems>
    </cacheField>
    <cacheField name="CardHolderAge" numFmtId="0">
      <sharedItems containsString="0" containsBlank="1" containsNumber="1" containsInteger="1" minValue="5" maxValue="120"/>
    </cacheField>
    <cacheField name="IsFraud" numFmtId="0">
      <sharedItems containsSemiMixedTypes="0" containsString="0" containsNumber="1" containsInteger="1" minValue="0" maxValue="1" count="2">
        <n v="0"/>
        <n v="1"/>
      </sharedItems>
    </cacheField>
    <cacheField name="Location imputed" numFmtId="0">
      <sharedItems count="5">
        <s v="Chicago"/>
        <s v="Los Angeles"/>
        <s v="Miami"/>
        <s v="Houston"/>
        <s v="New York"/>
      </sharedItems>
    </cacheField>
    <cacheField name="Amount  Imputed" numFmtId="0">
      <sharedItems containsSemiMixedTypes="0" containsString="0" containsNumber="1" minValue="6.06" maxValue="9691.57864325658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500"/>
    <n v="986.22"/>
    <n v="81974"/>
    <x v="0"/>
    <x v="0"/>
    <n v="37"/>
    <x v="0"/>
  </r>
  <r>
    <n v="499"/>
    <n v="974.42"/>
    <n v="52603"/>
    <x v="1"/>
    <x v="0"/>
    <n v="21"/>
    <x v="1"/>
  </r>
  <r>
    <n v="498"/>
    <n v="78.66"/>
    <n v="75629"/>
    <x v="2"/>
    <x v="1"/>
    <n v="78"/>
    <x v="0"/>
  </r>
  <r>
    <n v="497"/>
    <n v="584.07000000000005"/>
    <n v="78623"/>
    <x v="2"/>
    <x v="2"/>
    <n v="64"/>
    <x v="1"/>
  </r>
  <r>
    <n v="496"/>
    <n v="354"/>
    <n v="48770"/>
    <x v="3"/>
    <x v="3"/>
    <n v="21"/>
    <x v="0"/>
  </r>
  <r>
    <n v="495"/>
    <n v="464.23"/>
    <n v="40806"/>
    <x v="4"/>
    <x v="0"/>
    <n v="75"/>
    <x v="0"/>
  </r>
  <r>
    <n v="494"/>
    <n v="188.93"/>
    <n v="12342"/>
    <x v="4"/>
    <x v="2"/>
    <n v="54"/>
    <x v="0"/>
  </r>
  <r>
    <n v="493"/>
    <n v="278.10000000000002"/>
    <n v="52487"/>
    <x v="3"/>
    <x v="3"/>
    <n v="36"/>
    <x v="0"/>
  </r>
  <r>
    <n v="492"/>
    <n v="620.51"/>
    <n v="55168"/>
    <x v="3"/>
    <x v="2"/>
    <n v="73"/>
    <x v="0"/>
  </r>
  <r>
    <n v="491"/>
    <n v="456.2"/>
    <n v="65155"/>
    <x v="3"/>
    <x v="0"/>
    <n v="23"/>
    <x v="0"/>
  </r>
  <r>
    <n v="490"/>
    <n v="890.37"/>
    <n v="25522"/>
    <x v="4"/>
    <x v="4"/>
    <m/>
    <x v="0"/>
  </r>
  <r>
    <n v="489"/>
    <n v="950.46"/>
    <n v="38565"/>
    <x v="4"/>
    <x v="3"/>
    <n v="48"/>
    <x v="0"/>
  </r>
  <r>
    <n v="488"/>
    <n v="281.68"/>
    <n v="11485"/>
    <x v="3"/>
    <x v="2"/>
    <n v="68"/>
    <x v="0"/>
  </r>
  <r>
    <n v="487"/>
    <n v="46.4"/>
    <n v="26737"/>
    <x v="0"/>
    <x v="4"/>
    <n v="33"/>
    <x v="0"/>
  </r>
  <r>
    <n v="486"/>
    <n v="901.26"/>
    <n v="38000"/>
    <x v="1"/>
    <x v="4"/>
    <n v="28"/>
    <x v="0"/>
  </r>
  <r>
    <n v="485"/>
    <m/>
    <n v="6645"/>
    <x v="3"/>
    <x v="3"/>
    <n v="37"/>
    <x v="0"/>
  </r>
  <r>
    <n v="484"/>
    <n v="627.92999999999995"/>
    <n v="28865"/>
    <x v="2"/>
    <x v="0"/>
    <n v="74"/>
    <x v="0"/>
  </r>
  <r>
    <n v="483"/>
    <n v="455.09"/>
    <n v="48302"/>
    <x v="3"/>
    <x v="2"/>
    <n v="70"/>
    <x v="0"/>
  </r>
  <r>
    <n v="482"/>
    <n v="696.05"/>
    <n v="38258"/>
    <x v="2"/>
    <x v="4"/>
    <n v="51"/>
    <x v="0"/>
  </r>
  <r>
    <n v="481"/>
    <n v="629.77"/>
    <n v="64077"/>
    <x v="0"/>
    <x v="3"/>
    <n v="74"/>
    <x v="0"/>
  </r>
  <r>
    <n v="480"/>
    <n v="523.57000000000005"/>
    <n v="33536"/>
    <x v="3"/>
    <x v="0"/>
    <n v="31"/>
    <x v="0"/>
  </r>
  <r>
    <n v="479"/>
    <n v="969.33"/>
    <n v="18449"/>
    <x v="1"/>
    <x v="0"/>
    <n v="31"/>
    <x v="0"/>
  </r>
  <r>
    <n v="478"/>
    <n v="554.29999999999995"/>
    <n v="72847"/>
    <x v="0"/>
    <x v="4"/>
    <n v="34"/>
    <x v="0"/>
  </r>
  <r>
    <n v="477"/>
    <n v="74.72"/>
    <n v="42460"/>
    <x v="2"/>
    <x v="4"/>
    <n v="29"/>
    <x v="0"/>
  </r>
  <r>
    <n v="476"/>
    <n v="992.97"/>
    <n v="27952"/>
    <x v="2"/>
    <x v="3"/>
    <n v="71"/>
    <x v="0"/>
  </r>
  <r>
    <n v="475"/>
    <n v="528.16999999999996"/>
    <n v="59676"/>
    <x v="4"/>
    <x v="1"/>
    <n v="75"/>
    <x v="0"/>
  </r>
  <r>
    <n v="474"/>
    <n v="891.25"/>
    <n v="2717"/>
    <x v="4"/>
    <x v="4"/>
    <n v="43"/>
    <x v="0"/>
  </r>
  <r>
    <n v="473"/>
    <n v="44.12"/>
    <n v="2079"/>
    <x v="3"/>
    <x v="3"/>
    <n v="59"/>
    <x v="0"/>
  </r>
  <r>
    <n v="472"/>
    <n v="969.91"/>
    <n v="58066"/>
    <x v="0"/>
    <x v="1"/>
    <n v="39"/>
    <x v="0"/>
  </r>
  <r>
    <n v="471"/>
    <n v="13.14"/>
    <n v="33719"/>
    <x v="3"/>
    <x v="4"/>
    <n v="53"/>
    <x v="0"/>
  </r>
  <r>
    <n v="470"/>
    <n v="963.26"/>
    <n v="24442"/>
    <x v="1"/>
    <x v="4"/>
    <n v="69"/>
    <x v="0"/>
  </r>
  <r>
    <n v="469"/>
    <n v="224.37"/>
    <n v="2482"/>
    <x v="3"/>
    <x v="0"/>
    <n v="26"/>
    <x v="0"/>
  </r>
  <r>
    <n v="468"/>
    <m/>
    <n v="41949"/>
    <x v="4"/>
    <x v="4"/>
    <n v="30"/>
    <x v="0"/>
  </r>
  <r>
    <n v="467"/>
    <n v="286.43"/>
    <n v="1759"/>
    <x v="4"/>
    <x v="0"/>
    <n v="65"/>
    <x v="0"/>
  </r>
  <r>
    <n v="466"/>
    <n v="375.5"/>
    <n v="75520"/>
    <x v="0"/>
    <x v="2"/>
    <n v="58"/>
    <x v="0"/>
  </r>
  <r>
    <n v="465"/>
    <n v="962.21"/>
    <n v="20806"/>
    <x v="2"/>
    <x v="0"/>
    <n v="19"/>
    <x v="0"/>
  </r>
  <r>
    <n v="464"/>
    <n v="583.79"/>
    <n v="62823"/>
    <x v="1"/>
    <x v="3"/>
    <m/>
    <x v="0"/>
  </r>
  <r>
    <n v="463"/>
    <n v="746.3"/>
    <n v="75452"/>
    <x v="3"/>
    <x v="3"/>
    <n v="44"/>
    <x v="0"/>
  </r>
  <r>
    <n v="462"/>
    <n v="649.55999999999995"/>
    <n v="21566"/>
    <x v="1"/>
    <x v="3"/>
    <n v="56"/>
    <x v="0"/>
  </r>
  <r>
    <n v="461"/>
    <n v="118.41"/>
    <n v="24917"/>
    <x v="4"/>
    <x v="4"/>
    <n v="63"/>
    <x v="0"/>
  </r>
  <r>
    <n v="460"/>
    <n v="119.7"/>
    <n v="52853"/>
    <x v="0"/>
    <x v="2"/>
    <n v="38"/>
    <x v="0"/>
  </r>
  <r>
    <n v="459"/>
    <n v="57.25"/>
    <n v="49840"/>
    <x v="0"/>
    <x v="4"/>
    <n v="27"/>
    <x v="0"/>
  </r>
  <r>
    <n v="458"/>
    <n v="469.19"/>
    <n v="19816"/>
    <x v="2"/>
    <x v="4"/>
    <n v="42"/>
    <x v="0"/>
  </r>
  <r>
    <n v="457"/>
    <n v="12.34"/>
    <n v="46163"/>
    <x v="4"/>
    <x v="2"/>
    <n v="60"/>
    <x v="0"/>
  </r>
  <r>
    <n v="456"/>
    <n v="8293.5881936351107"/>
    <n v="70480"/>
    <x v="0"/>
    <x v="1"/>
    <n v="51"/>
    <x v="0"/>
  </r>
  <r>
    <n v="455"/>
    <n v="112.09"/>
    <n v="27696"/>
    <x v="3"/>
    <x v="0"/>
    <n v="59"/>
    <x v="0"/>
  </r>
  <r>
    <n v="454"/>
    <n v="906.45"/>
    <n v="16241"/>
    <x v="0"/>
    <x v="2"/>
    <n v="49"/>
    <x v="0"/>
  </r>
  <r>
    <n v="453"/>
    <n v="424.8"/>
    <n v="10395"/>
    <x v="2"/>
    <x v="4"/>
    <n v="52"/>
    <x v="0"/>
  </r>
  <r>
    <n v="452"/>
    <m/>
    <n v="19097"/>
    <x v="2"/>
    <x v="2"/>
    <n v="57"/>
    <x v="0"/>
  </r>
  <r>
    <n v="451"/>
    <n v="777.37"/>
    <n v="4757"/>
    <x v="2"/>
    <x v="1"/>
    <n v="21"/>
    <x v="0"/>
  </r>
  <r>
    <n v="450"/>
    <n v="84.42"/>
    <n v="37148"/>
    <x v="3"/>
    <x v="2"/>
    <n v="18"/>
    <x v="0"/>
  </r>
  <r>
    <n v="449"/>
    <n v="376.88"/>
    <n v="46240"/>
    <x v="5"/>
    <x v="3"/>
    <n v="20"/>
    <x v="0"/>
  </r>
  <r>
    <n v="448"/>
    <n v="753.62"/>
    <n v="19956"/>
    <x v="4"/>
    <x v="4"/>
    <n v="22"/>
    <x v="0"/>
  </r>
  <r>
    <n v="447"/>
    <n v="986.02"/>
    <n v="45765"/>
    <x v="0"/>
    <x v="1"/>
    <n v="61"/>
    <x v="0"/>
  </r>
  <r>
    <n v="446"/>
    <n v="947.3"/>
    <n v="70835"/>
    <x v="0"/>
    <x v="2"/>
    <n v="18"/>
    <x v="0"/>
  </r>
  <r>
    <n v="445"/>
    <n v="812.99"/>
    <n v="67526"/>
    <x v="0"/>
    <x v="3"/>
    <n v="25"/>
    <x v="0"/>
  </r>
  <r>
    <n v="444"/>
    <n v="371.27"/>
    <n v="79026"/>
    <x v="3"/>
    <x v="1"/>
    <n v="33"/>
    <x v="1"/>
  </r>
  <r>
    <n v="443"/>
    <n v="374.9"/>
    <n v="70507"/>
    <x v="1"/>
    <x v="4"/>
    <n v="75"/>
    <x v="0"/>
  </r>
  <r>
    <n v="442"/>
    <n v="986.65"/>
    <n v="41914"/>
    <x v="3"/>
    <x v="3"/>
    <n v="59"/>
    <x v="0"/>
  </r>
  <r>
    <n v="441"/>
    <n v="85.75"/>
    <n v="6783"/>
    <x v="0"/>
    <x v="4"/>
    <n v="25"/>
    <x v="0"/>
  </r>
  <r>
    <n v="440"/>
    <n v="82.27"/>
    <n v="36368"/>
    <x v="2"/>
    <x v="2"/>
    <n v="64"/>
    <x v="0"/>
  </r>
  <r>
    <n v="439"/>
    <n v="706.54"/>
    <n v="57761"/>
    <x v="2"/>
    <x v="4"/>
    <n v="54"/>
    <x v="0"/>
  </r>
  <r>
    <n v="438"/>
    <n v="822.04"/>
    <n v="8666"/>
    <x v="4"/>
    <x v="0"/>
    <n v="42"/>
    <x v="0"/>
  </r>
  <r>
    <n v="437"/>
    <n v="73.69"/>
    <n v="8070"/>
    <x v="2"/>
    <x v="3"/>
    <n v="64"/>
    <x v="0"/>
  </r>
  <r>
    <n v="436"/>
    <n v="701.27"/>
    <n v="8577"/>
    <x v="0"/>
    <x v="4"/>
    <n v="61"/>
    <x v="0"/>
  </r>
  <r>
    <n v="435"/>
    <n v="85.02"/>
    <n v="73509"/>
    <x v="4"/>
    <x v="0"/>
    <n v="56"/>
    <x v="0"/>
  </r>
  <r>
    <n v="434"/>
    <n v="102.02"/>
    <n v="49688"/>
    <x v="3"/>
    <x v="1"/>
    <n v="47"/>
    <x v="0"/>
  </r>
  <r>
    <n v="433"/>
    <n v="618.6"/>
    <n v="63731"/>
    <x v="2"/>
    <x v="0"/>
    <n v="46"/>
    <x v="0"/>
  </r>
  <r>
    <n v="432"/>
    <n v="761.75"/>
    <n v="25150"/>
    <x v="5"/>
    <x v="0"/>
    <n v="40"/>
    <x v="0"/>
  </r>
  <r>
    <n v="431"/>
    <n v="143.85"/>
    <n v="40738"/>
    <x v="1"/>
    <x v="1"/>
    <n v="36"/>
    <x v="0"/>
  </r>
  <r>
    <n v="430"/>
    <n v="117.95"/>
    <n v="13224"/>
    <x v="1"/>
    <x v="4"/>
    <n v="71"/>
    <x v="0"/>
  </r>
  <r>
    <n v="429"/>
    <n v="351.56"/>
    <n v="39224"/>
    <x v="1"/>
    <x v="0"/>
    <n v="20"/>
    <x v="0"/>
  </r>
  <r>
    <n v="428"/>
    <n v="887.82"/>
    <n v="57545"/>
    <x v="0"/>
    <x v="3"/>
    <n v="73"/>
    <x v="0"/>
  </r>
  <r>
    <n v="427"/>
    <n v="442.09"/>
    <n v="75060"/>
    <x v="0"/>
    <x v="4"/>
    <n v="50"/>
    <x v="0"/>
  </r>
  <r>
    <n v="426"/>
    <n v="549.98"/>
    <n v="56264"/>
    <x v="4"/>
    <x v="3"/>
    <n v="78"/>
    <x v="0"/>
  </r>
  <r>
    <n v="425"/>
    <n v="58.5"/>
    <n v="11694"/>
    <x v="0"/>
    <x v="2"/>
    <n v="54"/>
    <x v="0"/>
  </r>
  <r>
    <n v="424"/>
    <n v="494.93"/>
    <n v="68244"/>
    <x v="2"/>
    <x v="2"/>
    <n v="5"/>
    <x v="0"/>
  </r>
  <r>
    <n v="423"/>
    <n v="92.11"/>
    <n v="63374"/>
    <x v="3"/>
    <x v="4"/>
    <n v="39"/>
    <x v="0"/>
  </r>
  <r>
    <n v="422"/>
    <n v="789.83"/>
    <n v="39282"/>
    <x v="2"/>
    <x v="1"/>
    <n v="30"/>
    <x v="0"/>
  </r>
  <r>
    <n v="421"/>
    <n v="791.79"/>
    <n v="37430"/>
    <x v="3"/>
    <x v="4"/>
    <n v="61"/>
    <x v="0"/>
  </r>
  <r>
    <n v="420"/>
    <n v="752.62"/>
    <n v="53173"/>
    <x v="0"/>
    <x v="1"/>
    <n v="41"/>
    <x v="0"/>
  </r>
  <r>
    <n v="419"/>
    <n v="672.85"/>
    <n v="19256"/>
    <x v="0"/>
    <x v="0"/>
    <n v="40"/>
    <x v="0"/>
  </r>
  <r>
    <n v="418"/>
    <n v="329.34"/>
    <n v="47523"/>
    <x v="3"/>
    <x v="0"/>
    <n v="68"/>
    <x v="0"/>
  </r>
  <r>
    <n v="417"/>
    <n v="293.92"/>
    <n v="1645"/>
    <x v="3"/>
    <x v="3"/>
    <n v="32"/>
    <x v="0"/>
  </r>
  <r>
    <n v="416"/>
    <n v="449"/>
    <n v="36244"/>
    <x v="2"/>
    <x v="2"/>
    <n v="48"/>
    <x v="0"/>
  </r>
  <r>
    <n v="415"/>
    <n v="632.21"/>
    <n v="22116"/>
    <x v="1"/>
    <x v="1"/>
    <n v="67"/>
    <x v="0"/>
  </r>
  <r>
    <n v="414"/>
    <n v="573.86"/>
    <n v="76589"/>
    <x v="1"/>
    <x v="2"/>
    <n v="44"/>
    <x v="0"/>
  </r>
  <r>
    <n v="413"/>
    <n v="950.66"/>
    <n v="34560"/>
    <x v="0"/>
    <x v="3"/>
    <n v="69"/>
    <x v="0"/>
  </r>
  <r>
    <n v="412"/>
    <n v="950.11"/>
    <n v="13718"/>
    <x v="1"/>
    <x v="1"/>
    <n v="32"/>
    <x v="0"/>
  </r>
  <r>
    <n v="411"/>
    <n v="319.99"/>
    <n v="47882"/>
    <x v="4"/>
    <x v="2"/>
    <n v="38"/>
    <x v="1"/>
  </r>
  <r>
    <n v="410"/>
    <n v="92.2"/>
    <n v="3797"/>
    <x v="1"/>
    <x v="0"/>
    <n v="46"/>
    <x v="0"/>
  </r>
  <r>
    <n v="409"/>
    <n v="905.48"/>
    <n v="68904"/>
    <x v="4"/>
    <x v="0"/>
    <n v="19"/>
    <x v="0"/>
  </r>
  <r>
    <n v="408"/>
    <n v="11.83"/>
    <n v="44327"/>
    <x v="3"/>
    <x v="3"/>
    <n v="35"/>
    <x v="0"/>
  </r>
  <r>
    <n v="407"/>
    <n v="389.81"/>
    <n v="86066"/>
    <x v="4"/>
    <x v="3"/>
    <n v="30"/>
    <x v="0"/>
  </r>
  <r>
    <n v="406"/>
    <n v="895.63"/>
    <n v="55176"/>
    <x v="0"/>
    <x v="0"/>
    <n v="46"/>
    <x v="0"/>
  </r>
  <r>
    <n v="405"/>
    <n v="320.73"/>
    <n v="65310"/>
    <x v="3"/>
    <x v="2"/>
    <n v="45"/>
    <x v="0"/>
  </r>
  <r>
    <n v="404"/>
    <m/>
    <n v="27632"/>
    <x v="1"/>
    <x v="1"/>
    <n v="39"/>
    <x v="0"/>
  </r>
  <r>
    <n v="403"/>
    <n v="6481.7880675664401"/>
    <n v="52329"/>
    <x v="3"/>
    <x v="4"/>
    <n v="42"/>
    <x v="0"/>
  </r>
  <r>
    <n v="402"/>
    <n v="902.65"/>
    <n v="126"/>
    <x v="5"/>
    <x v="1"/>
    <n v="60"/>
    <x v="0"/>
  </r>
  <r>
    <n v="401"/>
    <n v="104.02"/>
    <n v="53028"/>
    <x v="3"/>
    <x v="3"/>
    <n v="39"/>
    <x v="0"/>
  </r>
  <r>
    <n v="400"/>
    <n v="754.79"/>
    <n v="60279"/>
    <x v="2"/>
    <x v="0"/>
    <n v="39"/>
    <x v="0"/>
  </r>
  <r>
    <n v="399"/>
    <n v="751.12"/>
    <n v="64644"/>
    <x v="2"/>
    <x v="3"/>
    <n v="28"/>
    <x v="0"/>
  </r>
  <r>
    <n v="398"/>
    <n v="429.57"/>
    <n v="80879"/>
    <x v="3"/>
    <x v="0"/>
    <n v="49"/>
    <x v="0"/>
  </r>
  <r>
    <n v="397"/>
    <n v="858.55"/>
    <n v="37219"/>
    <x v="3"/>
    <x v="2"/>
    <n v="61"/>
    <x v="0"/>
  </r>
  <r>
    <n v="396"/>
    <n v="930.83"/>
    <n v="39915"/>
    <x v="1"/>
    <x v="4"/>
    <n v="40"/>
    <x v="0"/>
  </r>
  <r>
    <n v="395"/>
    <n v="341.46"/>
    <n v="85451"/>
    <x v="4"/>
    <x v="1"/>
    <n v="24"/>
    <x v="0"/>
  </r>
  <r>
    <n v="394"/>
    <n v="776.64"/>
    <n v="27306"/>
    <x v="1"/>
    <x v="0"/>
    <n v="63"/>
    <x v="0"/>
  </r>
  <r>
    <n v="393"/>
    <m/>
    <n v="56942"/>
    <x v="0"/>
    <x v="3"/>
    <n v="57"/>
    <x v="0"/>
  </r>
  <r>
    <n v="392"/>
    <n v="413.21"/>
    <n v="15328"/>
    <x v="0"/>
    <x v="2"/>
    <n v="63"/>
    <x v="0"/>
  </r>
  <r>
    <n v="391"/>
    <m/>
    <n v="17368"/>
    <x v="2"/>
    <x v="0"/>
    <n v="25"/>
    <x v="0"/>
  </r>
  <r>
    <n v="390"/>
    <n v="807.03"/>
    <n v="73319"/>
    <x v="3"/>
    <x v="2"/>
    <n v="79"/>
    <x v="0"/>
  </r>
  <r>
    <n v="389"/>
    <n v="750.86"/>
    <n v="75916"/>
    <x v="1"/>
    <x v="4"/>
    <n v="38"/>
    <x v="0"/>
  </r>
  <r>
    <n v="388"/>
    <n v="178.26"/>
    <n v="75993"/>
    <x v="4"/>
    <x v="1"/>
    <n v="79"/>
    <x v="0"/>
  </r>
  <r>
    <n v="387"/>
    <n v="282.75"/>
    <n v="2443"/>
    <x v="4"/>
    <x v="2"/>
    <n v="30"/>
    <x v="0"/>
  </r>
  <r>
    <n v="386"/>
    <n v="803.68"/>
    <n v="76077"/>
    <x v="4"/>
    <x v="0"/>
    <m/>
    <x v="0"/>
  </r>
  <r>
    <n v="385"/>
    <n v="735.34"/>
    <n v="814"/>
    <x v="0"/>
    <x v="2"/>
    <n v="35"/>
    <x v="0"/>
  </r>
  <r>
    <n v="384"/>
    <n v="877.59"/>
    <n v="55318"/>
    <x v="2"/>
    <x v="4"/>
    <n v="64"/>
    <x v="0"/>
  </r>
  <r>
    <n v="383"/>
    <n v="629.30999999999995"/>
    <n v="12999"/>
    <x v="1"/>
    <x v="4"/>
    <n v="58"/>
    <x v="0"/>
  </r>
  <r>
    <n v="382"/>
    <n v="697.04"/>
    <n v="76325"/>
    <x v="3"/>
    <x v="1"/>
    <n v="29"/>
    <x v="0"/>
  </r>
  <r>
    <n v="381"/>
    <m/>
    <n v="14153"/>
    <x v="2"/>
    <x v="2"/>
    <n v="66"/>
    <x v="0"/>
  </r>
  <r>
    <n v="380"/>
    <n v="282.57"/>
    <n v="77834"/>
    <x v="2"/>
    <x v="4"/>
    <n v="56"/>
    <x v="0"/>
  </r>
  <r>
    <n v="379"/>
    <n v="814.65"/>
    <n v="71315"/>
    <x v="1"/>
    <x v="3"/>
    <n v="72"/>
    <x v="0"/>
  </r>
  <r>
    <n v="378"/>
    <n v="24.25"/>
    <n v="75683"/>
    <x v="3"/>
    <x v="1"/>
    <n v="47"/>
    <x v="0"/>
  </r>
  <r>
    <n v="377"/>
    <n v="845.03"/>
    <n v="39666"/>
    <x v="1"/>
    <x v="2"/>
    <n v="49"/>
    <x v="0"/>
  </r>
  <r>
    <n v="376"/>
    <n v="319.66000000000003"/>
    <n v="16478"/>
    <x v="2"/>
    <x v="0"/>
    <n v="75"/>
    <x v="0"/>
  </r>
  <r>
    <n v="375"/>
    <n v="72.12"/>
    <n v="20609"/>
    <x v="0"/>
    <x v="2"/>
    <n v="52"/>
    <x v="0"/>
  </r>
  <r>
    <n v="374"/>
    <n v="683.32"/>
    <n v="3756"/>
    <x v="1"/>
    <x v="3"/>
    <n v="38"/>
    <x v="0"/>
  </r>
  <r>
    <n v="373"/>
    <n v="95.35"/>
    <n v="84291"/>
    <x v="1"/>
    <x v="0"/>
    <n v="73"/>
    <x v="0"/>
  </r>
  <r>
    <n v="372"/>
    <n v="19.2"/>
    <n v="14382"/>
    <x v="0"/>
    <x v="2"/>
    <m/>
    <x v="0"/>
  </r>
  <r>
    <n v="371"/>
    <n v="101.68"/>
    <n v="64772"/>
    <x v="4"/>
    <x v="2"/>
    <n v="63"/>
    <x v="0"/>
  </r>
  <r>
    <n v="370"/>
    <n v="70.290000000000006"/>
    <n v="20103"/>
    <x v="1"/>
    <x v="0"/>
    <n v="68"/>
    <x v="0"/>
  </r>
  <r>
    <n v="369"/>
    <n v="196.6"/>
    <n v="40631"/>
    <x v="2"/>
    <x v="2"/>
    <n v="49"/>
    <x v="0"/>
  </r>
  <r>
    <n v="368"/>
    <n v="905.45"/>
    <n v="64435"/>
    <x v="0"/>
    <x v="0"/>
    <n v="61"/>
    <x v="0"/>
  </r>
  <r>
    <n v="367"/>
    <n v="961.23"/>
    <n v="71895"/>
    <x v="2"/>
    <x v="4"/>
    <n v="38"/>
    <x v="0"/>
  </r>
  <r>
    <n v="366"/>
    <n v="386.72"/>
    <n v="71907"/>
    <x v="3"/>
    <x v="3"/>
    <n v="37"/>
    <x v="0"/>
  </r>
  <r>
    <n v="365"/>
    <n v="941.52"/>
    <n v="29486"/>
    <x v="0"/>
    <x v="3"/>
    <n v="47"/>
    <x v="0"/>
  </r>
  <r>
    <n v="364"/>
    <n v="546.07000000000005"/>
    <n v="23710"/>
    <x v="3"/>
    <x v="1"/>
    <n v="69"/>
    <x v="0"/>
  </r>
  <r>
    <n v="363"/>
    <n v="458.79"/>
    <n v="55180"/>
    <x v="1"/>
    <x v="2"/>
    <n v="39"/>
    <x v="0"/>
  </r>
  <r>
    <n v="362"/>
    <m/>
    <n v="46197"/>
    <x v="2"/>
    <x v="3"/>
    <n v="67"/>
    <x v="1"/>
  </r>
  <r>
    <n v="361"/>
    <n v="388.78"/>
    <n v="43872"/>
    <x v="4"/>
    <x v="4"/>
    <m/>
    <x v="0"/>
  </r>
  <r>
    <n v="360"/>
    <n v="9691.5786432565801"/>
    <n v="32265"/>
    <x v="2"/>
    <x v="0"/>
    <n v="75"/>
    <x v="0"/>
  </r>
  <r>
    <n v="359"/>
    <n v="940.29"/>
    <n v="59201"/>
    <x v="0"/>
    <x v="4"/>
    <n v="5"/>
    <x v="0"/>
  </r>
  <r>
    <n v="358"/>
    <n v="586.19000000000005"/>
    <n v="19029"/>
    <x v="2"/>
    <x v="4"/>
    <n v="31"/>
    <x v="1"/>
  </r>
  <r>
    <n v="357"/>
    <n v="27.48"/>
    <n v="67779"/>
    <x v="4"/>
    <x v="4"/>
    <n v="76"/>
    <x v="0"/>
  </r>
  <r>
    <n v="356"/>
    <m/>
    <n v="2336"/>
    <x v="0"/>
    <x v="2"/>
    <n v="57"/>
    <x v="0"/>
  </r>
  <r>
    <n v="355"/>
    <n v="71.5"/>
    <n v="82870"/>
    <x v="0"/>
    <x v="3"/>
    <n v="42"/>
    <x v="0"/>
  </r>
  <r>
    <n v="354"/>
    <n v="163.77000000000001"/>
    <n v="32154"/>
    <x v="4"/>
    <x v="2"/>
    <n v="26"/>
    <x v="0"/>
  </r>
  <r>
    <n v="353"/>
    <m/>
    <n v="64484"/>
    <x v="3"/>
    <x v="0"/>
    <n v="72"/>
    <x v="0"/>
  </r>
  <r>
    <n v="352"/>
    <n v="856.63"/>
    <n v="44028"/>
    <x v="0"/>
    <x v="3"/>
    <n v="35"/>
    <x v="0"/>
  </r>
  <r>
    <n v="351"/>
    <n v="503.63"/>
    <n v="66656"/>
    <x v="4"/>
    <x v="2"/>
    <n v="57"/>
    <x v="0"/>
  </r>
  <r>
    <n v="350"/>
    <n v="626.23"/>
    <n v="10789"/>
    <x v="2"/>
    <x v="4"/>
    <n v="34"/>
    <x v="0"/>
  </r>
  <r>
    <n v="349"/>
    <n v="375.24"/>
    <n v="51356"/>
    <x v="2"/>
    <x v="1"/>
    <n v="32"/>
    <x v="0"/>
  </r>
  <r>
    <n v="348"/>
    <n v="46.26"/>
    <n v="922"/>
    <x v="0"/>
    <x v="0"/>
    <n v="27"/>
    <x v="0"/>
  </r>
  <r>
    <n v="347"/>
    <n v="635.46"/>
    <n v="9446"/>
    <x v="1"/>
    <x v="2"/>
    <n v="28"/>
    <x v="0"/>
  </r>
  <r>
    <n v="346"/>
    <n v="616.23"/>
    <n v="25053"/>
    <x v="0"/>
    <x v="4"/>
    <n v="51"/>
    <x v="0"/>
  </r>
  <r>
    <n v="345"/>
    <n v="399.11"/>
    <n v="59379"/>
    <x v="1"/>
    <x v="3"/>
    <n v="77"/>
    <x v="0"/>
  </r>
  <r>
    <n v="344"/>
    <n v="434.42"/>
    <n v="5408"/>
    <x v="0"/>
    <x v="0"/>
    <n v="49"/>
    <x v="0"/>
  </r>
  <r>
    <n v="343"/>
    <n v="174.03"/>
    <n v="71324"/>
    <x v="5"/>
    <x v="2"/>
    <n v="49"/>
    <x v="0"/>
  </r>
  <r>
    <n v="342"/>
    <n v="474"/>
    <n v="80910"/>
    <x v="2"/>
    <x v="2"/>
    <n v="33"/>
    <x v="0"/>
  </r>
  <r>
    <n v="341"/>
    <n v="492.12"/>
    <n v="56819"/>
    <x v="1"/>
    <x v="4"/>
    <n v="48"/>
    <x v="0"/>
  </r>
  <r>
    <n v="340"/>
    <n v="98.74"/>
    <n v="24519"/>
    <x v="4"/>
    <x v="2"/>
    <n v="49"/>
    <x v="1"/>
  </r>
  <r>
    <n v="339"/>
    <n v="474.7"/>
    <n v="83122"/>
    <x v="2"/>
    <x v="1"/>
    <n v="70"/>
    <x v="0"/>
  </r>
  <r>
    <n v="338"/>
    <n v="703.95"/>
    <n v="54917"/>
    <x v="2"/>
    <x v="4"/>
    <n v="30"/>
    <x v="0"/>
  </r>
  <r>
    <n v="337"/>
    <n v="855.61"/>
    <n v="41157"/>
    <x v="3"/>
    <x v="3"/>
    <m/>
    <x v="0"/>
  </r>
  <r>
    <n v="336"/>
    <n v="41.69"/>
    <n v="67506"/>
    <x v="2"/>
    <x v="1"/>
    <n v="19"/>
    <x v="0"/>
  </r>
  <r>
    <n v="335"/>
    <n v="46.96"/>
    <n v="11302"/>
    <x v="3"/>
    <x v="4"/>
    <n v="57"/>
    <x v="0"/>
  </r>
  <r>
    <n v="334"/>
    <m/>
    <n v="4018"/>
    <x v="5"/>
    <x v="3"/>
    <n v="44"/>
    <x v="0"/>
  </r>
  <r>
    <n v="333"/>
    <m/>
    <n v="36455"/>
    <x v="1"/>
    <x v="4"/>
    <m/>
    <x v="0"/>
  </r>
  <r>
    <n v="332"/>
    <n v="758.09"/>
    <n v="18381"/>
    <x v="1"/>
    <x v="3"/>
    <n v="53"/>
    <x v="0"/>
  </r>
  <r>
    <n v="331"/>
    <n v="356.62"/>
    <n v="45558"/>
    <x v="2"/>
    <x v="2"/>
    <n v="38"/>
    <x v="0"/>
  </r>
  <r>
    <n v="330"/>
    <n v="248.48"/>
    <n v="11246"/>
    <x v="0"/>
    <x v="1"/>
    <n v="27"/>
    <x v="0"/>
  </r>
  <r>
    <n v="329"/>
    <n v="420.18"/>
    <n v="34016"/>
    <x v="3"/>
    <x v="3"/>
    <n v="67"/>
    <x v="0"/>
  </r>
  <r>
    <n v="328"/>
    <n v="612.11"/>
    <n v="67728"/>
    <x v="1"/>
    <x v="3"/>
    <n v="79"/>
    <x v="0"/>
  </r>
  <r>
    <n v="327"/>
    <n v="554.79999999999995"/>
    <n v="19096"/>
    <x v="0"/>
    <x v="4"/>
    <n v="72"/>
    <x v="0"/>
  </r>
  <r>
    <n v="326"/>
    <n v="5516.3250443752404"/>
    <n v="9184"/>
    <x v="0"/>
    <x v="1"/>
    <n v="75"/>
    <x v="0"/>
  </r>
  <r>
    <n v="325"/>
    <n v="954.91"/>
    <n v="18574"/>
    <x v="2"/>
    <x v="1"/>
    <n v="42"/>
    <x v="0"/>
  </r>
  <r>
    <n v="324"/>
    <n v="280.64999999999998"/>
    <n v="71520"/>
    <x v="4"/>
    <x v="4"/>
    <n v="58"/>
    <x v="0"/>
  </r>
  <r>
    <n v="323"/>
    <n v="660.54"/>
    <n v="72101"/>
    <x v="4"/>
    <x v="0"/>
    <n v="58"/>
    <x v="0"/>
  </r>
  <r>
    <n v="322"/>
    <n v="714.88"/>
    <n v="73340"/>
    <x v="1"/>
    <x v="4"/>
    <n v="31"/>
    <x v="1"/>
  </r>
  <r>
    <n v="321"/>
    <n v="549.67999999999995"/>
    <n v="11954"/>
    <x v="3"/>
    <x v="3"/>
    <n v="21"/>
    <x v="0"/>
  </r>
  <r>
    <n v="320"/>
    <n v="250.99"/>
    <n v="39711"/>
    <x v="1"/>
    <x v="1"/>
    <n v="79"/>
    <x v="0"/>
  </r>
  <r>
    <n v="319"/>
    <n v="157.28"/>
    <n v="29287"/>
    <x v="4"/>
    <x v="3"/>
    <n v="53"/>
    <x v="0"/>
  </r>
  <r>
    <n v="318"/>
    <n v="174.12"/>
    <n v="75046"/>
    <x v="0"/>
    <x v="3"/>
    <n v="66"/>
    <x v="0"/>
  </r>
  <r>
    <n v="317"/>
    <n v="409.54"/>
    <n v="59207"/>
    <x v="4"/>
    <x v="1"/>
    <n v="20"/>
    <x v="0"/>
  </r>
  <r>
    <n v="316"/>
    <n v="696.28"/>
    <n v="43303"/>
    <x v="2"/>
    <x v="1"/>
    <n v="67"/>
    <x v="0"/>
  </r>
  <r>
    <n v="315"/>
    <n v="836.14"/>
    <n v="84056"/>
    <x v="3"/>
    <x v="4"/>
    <n v="32"/>
    <x v="0"/>
  </r>
  <r>
    <n v="314"/>
    <n v="962.69"/>
    <n v="82985"/>
    <x v="0"/>
    <x v="2"/>
    <n v="19"/>
    <x v="0"/>
  </r>
  <r>
    <n v="313"/>
    <n v="26.33"/>
    <n v="14060"/>
    <x v="0"/>
    <x v="1"/>
    <n v="26"/>
    <x v="0"/>
  </r>
  <r>
    <n v="312"/>
    <n v="79.38"/>
    <n v="16984"/>
    <x v="4"/>
    <x v="4"/>
    <n v="42"/>
    <x v="0"/>
  </r>
  <r>
    <n v="311"/>
    <n v="439.53"/>
    <n v="20611"/>
    <x v="0"/>
    <x v="4"/>
    <n v="57"/>
    <x v="0"/>
  </r>
  <r>
    <n v="310"/>
    <n v="271.56"/>
    <n v="77"/>
    <x v="1"/>
    <x v="3"/>
    <n v="25"/>
    <x v="0"/>
  </r>
  <r>
    <n v="309"/>
    <n v="795.39"/>
    <n v="23930"/>
    <x v="5"/>
    <x v="2"/>
    <n v="48"/>
    <x v="0"/>
  </r>
  <r>
    <n v="308"/>
    <n v="323.63"/>
    <n v="19282"/>
    <x v="3"/>
    <x v="3"/>
    <n v="34"/>
    <x v="0"/>
  </r>
  <r>
    <n v="307"/>
    <n v="7974.2368975095396"/>
    <n v="15524"/>
    <x v="4"/>
    <x v="4"/>
    <n v="45"/>
    <x v="0"/>
  </r>
  <r>
    <n v="306"/>
    <n v="975.88"/>
    <n v="30523"/>
    <x v="4"/>
    <x v="0"/>
    <n v="65"/>
    <x v="0"/>
  </r>
  <r>
    <n v="305"/>
    <n v="726.37"/>
    <n v="58596"/>
    <x v="2"/>
    <x v="2"/>
    <n v="49"/>
    <x v="0"/>
  </r>
  <r>
    <n v="304"/>
    <n v="637.79"/>
    <n v="41832"/>
    <x v="2"/>
    <x v="3"/>
    <n v="64"/>
    <x v="0"/>
  </r>
  <r>
    <n v="303"/>
    <n v="541.09"/>
    <n v="8007"/>
    <x v="0"/>
    <x v="3"/>
    <n v="55"/>
    <x v="0"/>
  </r>
  <r>
    <n v="302"/>
    <n v="531.82000000000005"/>
    <n v="5951"/>
    <x v="0"/>
    <x v="4"/>
    <n v="27"/>
    <x v="0"/>
  </r>
  <r>
    <n v="301"/>
    <n v="52.63"/>
    <n v="43925"/>
    <x v="4"/>
    <x v="2"/>
    <m/>
    <x v="0"/>
  </r>
  <r>
    <n v="300"/>
    <n v="86.26"/>
    <n v="36159"/>
    <x v="5"/>
    <x v="2"/>
    <n v="49"/>
    <x v="0"/>
  </r>
  <r>
    <n v="299"/>
    <n v="623.27"/>
    <n v="5415"/>
    <x v="1"/>
    <x v="3"/>
    <n v="71"/>
    <x v="0"/>
  </r>
  <r>
    <n v="298"/>
    <n v="216.61"/>
    <n v="73698"/>
    <x v="0"/>
    <x v="1"/>
    <n v="47"/>
    <x v="1"/>
  </r>
  <r>
    <n v="297"/>
    <n v="770.22"/>
    <n v="84555"/>
    <x v="1"/>
    <x v="0"/>
    <n v="22"/>
    <x v="0"/>
  </r>
  <r>
    <n v="296"/>
    <n v="522.72"/>
    <n v="65441"/>
    <x v="0"/>
    <x v="2"/>
    <n v="22"/>
    <x v="0"/>
  </r>
  <r>
    <n v="295"/>
    <n v="127.93"/>
    <n v="70792"/>
    <x v="2"/>
    <x v="2"/>
    <n v="75"/>
    <x v="0"/>
  </r>
  <r>
    <n v="294"/>
    <n v="360.83"/>
    <n v="8567"/>
    <x v="4"/>
    <x v="1"/>
    <m/>
    <x v="1"/>
  </r>
  <r>
    <n v="293"/>
    <n v="822.78"/>
    <n v="67444"/>
    <x v="1"/>
    <x v="1"/>
    <n v="68"/>
    <x v="0"/>
  </r>
  <r>
    <n v="292"/>
    <n v="38.31"/>
    <n v="42929"/>
    <x v="3"/>
    <x v="2"/>
    <n v="45"/>
    <x v="0"/>
  </r>
  <r>
    <n v="291"/>
    <n v="31.47"/>
    <n v="235"/>
    <x v="0"/>
    <x v="4"/>
    <n v="68"/>
    <x v="1"/>
  </r>
  <r>
    <n v="290"/>
    <n v="591.24"/>
    <n v="12219"/>
    <x v="4"/>
    <x v="1"/>
    <n v="24"/>
    <x v="0"/>
  </r>
  <r>
    <n v="289"/>
    <n v="287.25"/>
    <n v="83524"/>
    <x v="4"/>
    <x v="0"/>
    <n v="36"/>
    <x v="0"/>
  </r>
  <r>
    <n v="288"/>
    <n v="543.1"/>
    <n v="42078"/>
    <x v="2"/>
    <x v="0"/>
    <n v="32"/>
    <x v="0"/>
  </r>
  <r>
    <n v="287"/>
    <n v="466.13"/>
    <n v="36258"/>
    <x v="2"/>
    <x v="0"/>
    <n v="69"/>
    <x v="0"/>
  </r>
  <r>
    <n v="286"/>
    <n v="36.909999999999997"/>
    <n v="26614"/>
    <x v="0"/>
    <x v="0"/>
    <n v="28"/>
    <x v="0"/>
  </r>
  <r>
    <n v="285"/>
    <n v="578.70000000000005"/>
    <n v="79767"/>
    <x v="1"/>
    <x v="3"/>
    <n v="53"/>
    <x v="0"/>
  </r>
  <r>
    <n v="284"/>
    <n v="94.89"/>
    <n v="19216"/>
    <x v="5"/>
    <x v="4"/>
    <n v="63"/>
    <x v="0"/>
  </r>
  <r>
    <n v="283"/>
    <n v="376.21"/>
    <n v="63076"/>
    <x v="4"/>
    <x v="1"/>
    <n v="48"/>
    <x v="0"/>
  </r>
  <r>
    <n v="282"/>
    <n v="338.66"/>
    <n v="1342"/>
    <x v="1"/>
    <x v="3"/>
    <n v="75"/>
    <x v="0"/>
  </r>
  <r>
    <n v="281"/>
    <n v="890.12"/>
    <n v="8512"/>
    <x v="4"/>
    <x v="2"/>
    <n v="57"/>
    <x v="0"/>
  </r>
  <r>
    <n v="280"/>
    <n v="796"/>
    <n v="34387"/>
    <x v="1"/>
    <x v="4"/>
    <n v="38"/>
    <x v="0"/>
  </r>
  <r>
    <n v="279"/>
    <n v="702.26"/>
    <n v="5287"/>
    <x v="0"/>
    <x v="0"/>
    <m/>
    <x v="0"/>
  </r>
  <r>
    <n v="278"/>
    <n v="650.30999999999995"/>
    <n v="39809"/>
    <x v="1"/>
    <x v="3"/>
    <n v="22"/>
    <x v="0"/>
  </r>
  <r>
    <n v="277"/>
    <n v="798.5"/>
    <n v="2219"/>
    <x v="2"/>
    <x v="0"/>
    <n v="34"/>
    <x v="0"/>
  </r>
  <r>
    <n v="276"/>
    <n v="502.01"/>
    <n v="9865"/>
    <x v="0"/>
    <x v="0"/>
    <n v="41"/>
    <x v="0"/>
  </r>
  <r>
    <n v="275"/>
    <n v="511.83"/>
    <n v="82180"/>
    <x v="2"/>
    <x v="1"/>
    <n v="52"/>
    <x v="0"/>
  </r>
  <r>
    <n v="274"/>
    <n v="913.33"/>
    <n v="65545"/>
    <x v="2"/>
    <x v="3"/>
    <m/>
    <x v="0"/>
  </r>
  <r>
    <n v="273"/>
    <n v="867.21"/>
    <n v="59383"/>
    <x v="3"/>
    <x v="1"/>
    <n v="68"/>
    <x v="0"/>
  </r>
  <r>
    <n v="272"/>
    <m/>
    <n v="20128"/>
    <x v="0"/>
    <x v="0"/>
    <n v="62"/>
    <x v="0"/>
  </r>
  <r>
    <n v="271"/>
    <n v="809.55"/>
    <n v="47362"/>
    <x v="3"/>
    <x v="3"/>
    <n v="18"/>
    <x v="0"/>
  </r>
  <r>
    <n v="270"/>
    <n v="294.3"/>
    <n v="32254"/>
    <x v="3"/>
    <x v="2"/>
    <n v="60"/>
    <x v="0"/>
  </r>
  <r>
    <n v="269"/>
    <n v="360.13"/>
    <n v="20618"/>
    <x v="4"/>
    <x v="2"/>
    <n v="40"/>
    <x v="0"/>
  </r>
  <r>
    <n v="268"/>
    <n v="702.78"/>
    <n v="1917"/>
    <x v="1"/>
    <x v="1"/>
    <m/>
    <x v="0"/>
  </r>
  <r>
    <n v="267"/>
    <n v="697.32"/>
    <n v="1828"/>
    <x v="2"/>
    <x v="4"/>
    <n v="25"/>
    <x v="0"/>
  </r>
  <r>
    <n v="266"/>
    <n v="741.03"/>
    <n v="42533"/>
    <x v="0"/>
    <x v="3"/>
    <n v="30"/>
    <x v="0"/>
  </r>
  <r>
    <n v="265"/>
    <n v="877.5"/>
    <n v="78477"/>
    <x v="3"/>
    <x v="2"/>
    <n v="25"/>
    <x v="0"/>
  </r>
  <r>
    <n v="264"/>
    <n v="518.80999999999995"/>
    <n v="67584"/>
    <x v="0"/>
    <x v="4"/>
    <n v="54"/>
    <x v="0"/>
  </r>
  <r>
    <n v="263"/>
    <n v="140.94"/>
    <n v="36976"/>
    <x v="2"/>
    <x v="1"/>
    <n v="40"/>
    <x v="0"/>
  </r>
  <r>
    <n v="262"/>
    <n v="990.06"/>
    <n v="45587"/>
    <x v="2"/>
    <x v="0"/>
    <n v="18"/>
    <x v="0"/>
  </r>
  <r>
    <n v="261"/>
    <n v="5162.2172302359304"/>
    <n v="49376"/>
    <x v="2"/>
    <x v="3"/>
    <n v="61"/>
    <x v="0"/>
  </r>
  <r>
    <n v="260"/>
    <n v="98.08"/>
    <n v="58067"/>
    <x v="1"/>
    <x v="3"/>
    <n v="49"/>
    <x v="1"/>
  </r>
  <r>
    <n v="259"/>
    <n v="570.49"/>
    <n v="64323"/>
    <x v="0"/>
    <x v="0"/>
    <n v="22"/>
    <x v="0"/>
  </r>
  <r>
    <n v="258"/>
    <n v="696.33"/>
    <n v="42101"/>
    <x v="3"/>
    <x v="3"/>
    <n v="36"/>
    <x v="0"/>
  </r>
  <r>
    <n v="257"/>
    <n v="936.22"/>
    <n v="30105"/>
    <x v="3"/>
    <x v="0"/>
    <n v="62"/>
    <x v="0"/>
  </r>
  <r>
    <n v="256"/>
    <n v="557.24"/>
    <n v="6469"/>
    <x v="4"/>
    <x v="0"/>
    <n v="41"/>
    <x v="0"/>
  </r>
  <r>
    <n v="255"/>
    <n v="170.32"/>
    <n v="46514"/>
    <x v="4"/>
    <x v="0"/>
    <n v="40"/>
    <x v="0"/>
  </r>
  <r>
    <n v="254"/>
    <n v="5862.61938473181"/>
    <n v="79239"/>
    <x v="4"/>
    <x v="0"/>
    <n v="77"/>
    <x v="0"/>
  </r>
  <r>
    <n v="253"/>
    <n v="851.29"/>
    <n v="10954"/>
    <x v="2"/>
    <x v="2"/>
    <n v="34"/>
    <x v="0"/>
  </r>
  <r>
    <n v="252"/>
    <n v="385.71"/>
    <n v="846"/>
    <x v="4"/>
    <x v="2"/>
    <n v="32"/>
    <x v="0"/>
  </r>
  <r>
    <n v="251"/>
    <n v="295.14999999999998"/>
    <n v="53441"/>
    <x v="4"/>
    <x v="4"/>
    <n v="66"/>
    <x v="0"/>
  </r>
  <r>
    <n v="250"/>
    <n v="853.16"/>
    <n v="13234"/>
    <x v="2"/>
    <x v="2"/>
    <n v="25"/>
    <x v="0"/>
  </r>
  <r>
    <n v="249"/>
    <n v="963.66"/>
    <n v="84471"/>
    <x v="1"/>
    <x v="0"/>
    <m/>
    <x v="0"/>
  </r>
  <r>
    <n v="248"/>
    <n v="966.69"/>
    <n v="117"/>
    <x v="3"/>
    <x v="3"/>
    <n v="76"/>
    <x v="0"/>
  </r>
  <r>
    <n v="247"/>
    <n v="428.76"/>
    <n v="28746"/>
    <x v="1"/>
    <x v="3"/>
    <n v="25"/>
    <x v="0"/>
  </r>
  <r>
    <n v="246"/>
    <n v="928.39"/>
    <n v="79579"/>
    <x v="2"/>
    <x v="1"/>
    <n v="51"/>
    <x v="0"/>
  </r>
  <r>
    <n v="245"/>
    <n v="16.440000000000001"/>
    <n v="41427"/>
    <x v="0"/>
    <x v="0"/>
    <n v="72"/>
    <x v="0"/>
  </r>
  <r>
    <n v="244"/>
    <n v="370.79"/>
    <n v="16389"/>
    <x v="4"/>
    <x v="0"/>
    <n v="28"/>
    <x v="0"/>
  </r>
  <r>
    <n v="243"/>
    <n v="914.95"/>
    <n v="38110"/>
    <x v="4"/>
    <x v="4"/>
    <n v="45"/>
    <x v="0"/>
  </r>
  <r>
    <n v="242"/>
    <n v="953.97"/>
    <n v="9111"/>
    <x v="2"/>
    <x v="0"/>
    <n v="38"/>
    <x v="0"/>
  </r>
  <r>
    <n v="241"/>
    <n v="940.52"/>
    <n v="76323"/>
    <x v="3"/>
    <x v="1"/>
    <n v="57"/>
    <x v="0"/>
  </r>
  <r>
    <n v="240"/>
    <n v="177.93"/>
    <n v="4324"/>
    <x v="4"/>
    <x v="4"/>
    <m/>
    <x v="0"/>
  </r>
  <r>
    <n v="239"/>
    <n v="645.83000000000004"/>
    <n v="24818"/>
    <x v="1"/>
    <x v="0"/>
    <n v="75"/>
    <x v="0"/>
  </r>
  <r>
    <n v="238"/>
    <n v="25.29"/>
    <n v="13046"/>
    <x v="4"/>
    <x v="2"/>
    <n v="120"/>
    <x v="0"/>
  </r>
  <r>
    <n v="237"/>
    <n v="281.49"/>
    <n v="27446"/>
    <x v="3"/>
    <x v="0"/>
    <n v="27"/>
    <x v="0"/>
  </r>
  <r>
    <n v="236"/>
    <n v="722.73"/>
    <n v="85655"/>
    <x v="4"/>
    <x v="2"/>
    <n v="50"/>
    <x v="0"/>
  </r>
  <r>
    <n v="235"/>
    <n v="196.05"/>
    <n v="13918"/>
    <x v="3"/>
    <x v="2"/>
    <n v="46"/>
    <x v="0"/>
  </r>
  <r>
    <n v="234"/>
    <n v="493.03"/>
    <n v="76125"/>
    <x v="2"/>
    <x v="2"/>
    <n v="65"/>
    <x v="0"/>
  </r>
  <r>
    <n v="233"/>
    <n v="577.33000000000004"/>
    <n v="56138"/>
    <x v="2"/>
    <x v="1"/>
    <n v="77"/>
    <x v="0"/>
  </r>
  <r>
    <n v="232"/>
    <n v="503.13"/>
    <n v="77149"/>
    <x v="5"/>
    <x v="2"/>
    <n v="19"/>
    <x v="0"/>
  </r>
  <r>
    <n v="231"/>
    <n v="795.02"/>
    <n v="27139"/>
    <x v="2"/>
    <x v="0"/>
    <n v="18"/>
    <x v="0"/>
  </r>
  <r>
    <n v="230"/>
    <n v="631.51"/>
    <n v="72303"/>
    <x v="3"/>
    <x v="2"/>
    <n v="58"/>
    <x v="0"/>
  </r>
  <r>
    <n v="229"/>
    <n v="892.15"/>
    <n v="71158"/>
    <x v="0"/>
    <x v="3"/>
    <n v="26"/>
    <x v="1"/>
  </r>
  <r>
    <n v="228"/>
    <n v="393.7"/>
    <n v="1605"/>
    <x v="0"/>
    <x v="3"/>
    <n v="73"/>
    <x v="0"/>
  </r>
  <r>
    <n v="227"/>
    <n v="973.04"/>
    <n v="27285"/>
    <x v="1"/>
    <x v="0"/>
    <n v="34"/>
    <x v="0"/>
  </r>
  <r>
    <n v="226"/>
    <n v="244.75"/>
    <n v="58656"/>
    <x v="2"/>
    <x v="3"/>
    <n v="58"/>
    <x v="0"/>
  </r>
  <r>
    <n v="225"/>
    <n v="265.94"/>
    <n v="28024"/>
    <x v="2"/>
    <x v="2"/>
    <n v="66"/>
    <x v="0"/>
  </r>
  <r>
    <n v="224"/>
    <n v="368.35"/>
    <n v="3812"/>
    <x v="0"/>
    <x v="4"/>
    <n v="30"/>
    <x v="0"/>
  </r>
  <r>
    <n v="223"/>
    <n v="94.58"/>
    <n v="17260"/>
    <x v="1"/>
    <x v="2"/>
    <n v="59"/>
    <x v="1"/>
  </r>
  <r>
    <n v="222"/>
    <n v="568.74"/>
    <n v="76090"/>
    <x v="1"/>
    <x v="2"/>
    <n v="38"/>
    <x v="0"/>
  </r>
  <r>
    <n v="221"/>
    <n v="657.96"/>
    <n v="75703"/>
    <x v="0"/>
    <x v="4"/>
    <n v="59"/>
    <x v="0"/>
  </r>
  <r>
    <n v="220"/>
    <m/>
    <n v="34529"/>
    <x v="1"/>
    <x v="3"/>
    <n v="55"/>
    <x v="0"/>
  </r>
  <r>
    <n v="219"/>
    <n v="649.98"/>
    <n v="48447"/>
    <x v="5"/>
    <x v="4"/>
    <m/>
    <x v="0"/>
  </r>
  <r>
    <n v="218"/>
    <n v="746.74"/>
    <n v="54553"/>
    <x v="1"/>
    <x v="4"/>
    <n v="69"/>
    <x v="0"/>
  </r>
  <r>
    <n v="217"/>
    <n v="326.07"/>
    <n v="84659"/>
    <x v="2"/>
    <x v="2"/>
    <n v="46"/>
    <x v="0"/>
  </r>
  <r>
    <n v="216"/>
    <n v="238.01"/>
    <n v="62981"/>
    <x v="4"/>
    <x v="1"/>
    <n v="58"/>
    <x v="0"/>
  </r>
  <r>
    <n v="215"/>
    <n v="712.47"/>
    <n v="60004"/>
    <x v="1"/>
    <x v="0"/>
    <n v="52"/>
    <x v="0"/>
  </r>
  <r>
    <n v="214"/>
    <n v="225.05"/>
    <n v="81449"/>
    <x v="2"/>
    <x v="3"/>
    <n v="57"/>
    <x v="1"/>
  </r>
  <r>
    <n v="213"/>
    <n v="652.30999999999995"/>
    <n v="72274"/>
    <x v="4"/>
    <x v="2"/>
    <n v="35"/>
    <x v="1"/>
  </r>
  <r>
    <n v="212"/>
    <n v="692.2"/>
    <n v="23275"/>
    <x v="2"/>
    <x v="0"/>
    <n v="77"/>
    <x v="0"/>
  </r>
  <r>
    <n v="211"/>
    <m/>
    <n v="81264"/>
    <x v="3"/>
    <x v="2"/>
    <n v="65"/>
    <x v="0"/>
  </r>
  <r>
    <n v="210"/>
    <n v="161.65"/>
    <n v="77735"/>
    <x v="4"/>
    <x v="1"/>
    <m/>
    <x v="0"/>
  </r>
  <r>
    <n v="209"/>
    <n v="6.06"/>
    <n v="73479"/>
    <x v="3"/>
    <x v="1"/>
    <n v="51"/>
    <x v="0"/>
  </r>
  <r>
    <n v="208"/>
    <n v="663.84"/>
    <n v="12910"/>
    <x v="5"/>
    <x v="2"/>
    <n v="21"/>
    <x v="1"/>
  </r>
  <r>
    <n v="207"/>
    <m/>
    <n v="79905"/>
    <x v="0"/>
    <x v="3"/>
    <n v="5"/>
    <x v="0"/>
  </r>
  <r>
    <n v="206"/>
    <n v="10.19"/>
    <n v="26069"/>
    <x v="2"/>
    <x v="4"/>
    <n v="43"/>
    <x v="0"/>
  </r>
  <r>
    <n v="205"/>
    <n v="606.82000000000005"/>
    <n v="6371"/>
    <x v="0"/>
    <x v="2"/>
    <n v="70"/>
    <x v="0"/>
  </r>
  <r>
    <n v="204"/>
    <n v="898.66"/>
    <n v="26734"/>
    <x v="1"/>
    <x v="4"/>
    <n v="72"/>
    <x v="0"/>
  </r>
  <r>
    <n v="203"/>
    <n v="162.47"/>
    <n v="82152"/>
    <x v="2"/>
    <x v="1"/>
    <n v="120"/>
    <x v="1"/>
  </r>
  <r>
    <n v="202"/>
    <n v="85.06"/>
    <n v="73794"/>
    <x v="3"/>
    <x v="0"/>
    <n v="38"/>
    <x v="0"/>
  </r>
  <r>
    <n v="201"/>
    <n v="642.39"/>
    <n v="7561"/>
    <x v="3"/>
    <x v="0"/>
    <n v="28"/>
    <x v="0"/>
  </r>
  <r>
    <n v="200"/>
    <n v="780.1"/>
    <n v="6168"/>
    <x v="0"/>
    <x v="3"/>
    <n v="77"/>
    <x v="0"/>
  </r>
  <r>
    <n v="199"/>
    <n v="887.2"/>
    <n v="3596"/>
    <x v="4"/>
    <x v="1"/>
    <n v="66"/>
    <x v="0"/>
  </r>
  <r>
    <n v="198"/>
    <n v="897.21"/>
    <n v="4632"/>
    <x v="1"/>
    <x v="3"/>
    <n v="52"/>
    <x v="0"/>
  </r>
  <r>
    <n v="197"/>
    <n v="726.23"/>
    <n v="47915"/>
    <x v="0"/>
    <x v="3"/>
    <n v="34"/>
    <x v="0"/>
  </r>
  <r>
    <n v="196"/>
    <n v="349.86"/>
    <n v="56793"/>
    <x v="1"/>
    <x v="1"/>
    <n v="53"/>
    <x v="0"/>
  </r>
  <r>
    <n v="195"/>
    <m/>
    <n v="6229"/>
    <x v="0"/>
    <x v="0"/>
    <n v="49"/>
    <x v="0"/>
  </r>
  <r>
    <n v="194"/>
    <n v="633.47"/>
    <n v="50448"/>
    <x v="3"/>
    <x v="3"/>
    <n v="62"/>
    <x v="0"/>
  </r>
  <r>
    <n v="193"/>
    <n v="900.52"/>
    <n v="1062"/>
    <x v="1"/>
    <x v="2"/>
    <n v="54"/>
    <x v="0"/>
  </r>
  <r>
    <n v="192"/>
    <n v="897.32"/>
    <n v="10267"/>
    <x v="2"/>
    <x v="4"/>
    <m/>
    <x v="0"/>
  </r>
  <r>
    <n v="191"/>
    <n v="94.01"/>
    <n v="38518"/>
    <x v="0"/>
    <x v="3"/>
    <m/>
    <x v="0"/>
  </r>
  <r>
    <n v="190"/>
    <n v="242.61"/>
    <n v="73688"/>
    <x v="1"/>
    <x v="0"/>
    <n v="38"/>
    <x v="0"/>
  </r>
  <r>
    <n v="189"/>
    <n v="530.12"/>
    <n v="46271"/>
    <x v="0"/>
    <x v="2"/>
    <n v="62"/>
    <x v="0"/>
  </r>
  <r>
    <n v="188"/>
    <n v="555.65"/>
    <n v="35854"/>
    <x v="4"/>
    <x v="2"/>
    <n v="67"/>
    <x v="0"/>
  </r>
  <r>
    <n v="187"/>
    <n v="817.4"/>
    <n v="34674"/>
    <x v="2"/>
    <x v="4"/>
    <n v="43"/>
    <x v="0"/>
  </r>
  <r>
    <n v="186"/>
    <n v="660.32"/>
    <n v="67067"/>
    <x v="1"/>
    <x v="3"/>
    <n v="38"/>
    <x v="0"/>
  </r>
  <r>
    <n v="185"/>
    <n v="258.68"/>
    <n v="38638"/>
    <x v="2"/>
    <x v="1"/>
    <n v="30"/>
    <x v="0"/>
  </r>
  <r>
    <n v="184"/>
    <n v="877.46"/>
    <n v="55658"/>
    <x v="1"/>
    <x v="4"/>
    <n v="18"/>
    <x v="0"/>
  </r>
  <r>
    <n v="183"/>
    <n v="924.77"/>
    <n v="84717"/>
    <x v="5"/>
    <x v="4"/>
    <n v="22"/>
    <x v="0"/>
  </r>
  <r>
    <n v="182"/>
    <m/>
    <n v="82838"/>
    <x v="1"/>
    <x v="4"/>
    <n v="56"/>
    <x v="0"/>
  </r>
  <r>
    <n v="181"/>
    <n v="341.73"/>
    <n v="18030"/>
    <x v="1"/>
    <x v="0"/>
    <n v="73"/>
    <x v="0"/>
  </r>
  <r>
    <n v="180"/>
    <n v="138.38"/>
    <n v="5122"/>
    <x v="2"/>
    <x v="0"/>
    <n v="75"/>
    <x v="0"/>
  </r>
  <r>
    <n v="179"/>
    <n v="936.79"/>
    <n v="5126"/>
    <x v="4"/>
    <x v="3"/>
    <n v="40"/>
    <x v="0"/>
  </r>
  <r>
    <n v="178"/>
    <n v="387.35"/>
    <n v="15034"/>
    <x v="1"/>
    <x v="4"/>
    <n v="27"/>
    <x v="0"/>
  </r>
  <r>
    <n v="177"/>
    <n v="691.25"/>
    <n v="4621"/>
    <x v="0"/>
    <x v="3"/>
    <n v="38"/>
    <x v="0"/>
  </r>
  <r>
    <n v="176"/>
    <n v="175.19"/>
    <n v="16748"/>
    <x v="5"/>
    <x v="3"/>
    <n v="32"/>
    <x v="0"/>
  </r>
  <r>
    <n v="175"/>
    <n v="645.53"/>
    <n v="44247"/>
    <x v="4"/>
    <x v="1"/>
    <n v="55"/>
    <x v="0"/>
  </r>
  <r>
    <n v="174"/>
    <n v="227.27"/>
    <n v="67661"/>
    <x v="1"/>
    <x v="0"/>
    <n v="71"/>
    <x v="0"/>
  </r>
  <r>
    <n v="173"/>
    <n v="512.58000000000004"/>
    <n v="73686"/>
    <x v="4"/>
    <x v="4"/>
    <n v="38"/>
    <x v="0"/>
  </r>
  <r>
    <n v="172"/>
    <n v="17.57"/>
    <n v="28699"/>
    <x v="2"/>
    <x v="4"/>
    <n v="44"/>
    <x v="0"/>
  </r>
  <r>
    <n v="171"/>
    <n v="677.89"/>
    <n v="8717"/>
    <x v="4"/>
    <x v="0"/>
    <n v="79"/>
    <x v="0"/>
  </r>
  <r>
    <n v="170"/>
    <n v="591.29999999999995"/>
    <n v="55"/>
    <x v="2"/>
    <x v="0"/>
    <n v="19"/>
    <x v="0"/>
  </r>
  <r>
    <n v="169"/>
    <n v="41.73"/>
    <n v="82558"/>
    <x v="0"/>
    <x v="4"/>
    <n v="72"/>
    <x v="0"/>
  </r>
  <r>
    <n v="168"/>
    <n v="187.33"/>
    <n v="302"/>
    <x v="3"/>
    <x v="1"/>
    <n v="79"/>
    <x v="0"/>
  </r>
  <r>
    <n v="167"/>
    <n v="321.45999999999998"/>
    <n v="50428"/>
    <x v="4"/>
    <x v="4"/>
    <n v="22"/>
    <x v="0"/>
  </r>
  <r>
    <n v="166"/>
    <n v="835.47"/>
    <n v="79714"/>
    <x v="4"/>
    <x v="3"/>
    <n v="39"/>
    <x v="0"/>
  </r>
  <r>
    <n v="165"/>
    <n v="91.2"/>
    <n v="59399"/>
    <x v="1"/>
    <x v="0"/>
    <n v="78"/>
    <x v="0"/>
  </r>
  <r>
    <n v="164"/>
    <n v="536.24"/>
    <n v="79104"/>
    <x v="4"/>
    <x v="0"/>
    <n v="54"/>
    <x v="0"/>
  </r>
  <r>
    <n v="163"/>
    <n v="633.9"/>
    <n v="64291"/>
    <x v="2"/>
    <x v="4"/>
    <n v="24"/>
    <x v="0"/>
  </r>
  <r>
    <n v="162"/>
    <n v="632.66999999999996"/>
    <n v="4432"/>
    <x v="4"/>
    <x v="2"/>
    <n v="31"/>
    <x v="0"/>
  </r>
  <r>
    <n v="161"/>
    <n v="368.42"/>
    <n v="52796"/>
    <x v="0"/>
    <x v="3"/>
    <n v="39"/>
    <x v="0"/>
  </r>
  <r>
    <n v="160"/>
    <n v="728.49"/>
    <n v="19262"/>
    <x v="0"/>
    <x v="2"/>
    <n v="45"/>
    <x v="0"/>
  </r>
  <r>
    <n v="159"/>
    <n v="238.4"/>
    <n v="55645"/>
    <x v="3"/>
    <x v="1"/>
    <n v="44"/>
    <x v="0"/>
  </r>
  <r>
    <n v="158"/>
    <n v="761.86"/>
    <n v="10478"/>
    <x v="2"/>
    <x v="2"/>
    <n v="24"/>
    <x v="0"/>
  </r>
  <r>
    <n v="157"/>
    <n v="672.46"/>
    <n v="43221"/>
    <x v="0"/>
    <x v="1"/>
    <n v="52"/>
    <x v="0"/>
  </r>
  <r>
    <n v="156"/>
    <n v="242.81"/>
    <n v="5240"/>
    <x v="3"/>
    <x v="3"/>
    <n v="78"/>
    <x v="0"/>
  </r>
  <r>
    <n v="155"/>
    <n v="985.66"/>
    <n v="22574"/>
    <x v="1"/>
    <x v="4"/>
    <n v="79"/>
    <x v="0"/>
  </r>
  <r>
    <n v="154"/>
    <n v="489.96"/>
    <n v="10488"/>
    <x v="0"/>
    <x v="4"/>
    <n v="69"/>
    <x v="0"/>
  </r>
  <r>
    <n v="153"/>
    <m/>
    <n v="23321"/>
    <x v="3"/>
    <x v="0"/>
    <n v="54"/>
    <x v="0"/>
  </r>
  <r>
    <n v="152"/>
    <n v="240.32"/>
    <n v="23624"/>
    <x v="3"/>
    <x v="3"/>
    <n v="67"/>
    <x v="0"/>
  </r>
  <r>
    <n v="151"/>
    <n v="908.36"/>
    <n v="81818"/>
    <x v="2"/>
    <x v="3"/>
    <n v="56"/>
    <x v="0"/>
  </r>
  <r>
    <n v="150"/>
    <n v="279.37"/>
    <n v="51745"/>
    <x v="1"/>
    <x v="1"/>
    <n v="55"/>
    <x v="0"/>
  </r>
  <r>
    <n v="149"/>
    <n v="52.43"/>
    <n v="18777"/>
    <x v="0"/>
    <x v="2"/>
    <n v="77"/>
    <x v="1"/>
  </r>
  <r>
    <n v="148"/>
    <n v="503.18"/>
    <n v="16907"/>
    <x v="0"/>
    <x v="4"/>
    <n v="53"/>
    <x v="0"/>
  </r>
  <r>
    <n v="147"/>
    <n v="609.95000000000005"/>
    <n v="39749"/>
    <x v="4"/>
    <x v="0"/>
    <n v="69"/>
    <x v="0"/>
  </r>
  <r>
    <n v="146"/>
    <n v="37.85"/>
    <n v="79252"/>
    <x v="1"/>
    <x v="0"/>
    <n v="46"/>
    <x v="0"/>
  </r>
  <r>
    <n v="145"/>
    <n v="285.56"/>
    <n v="23061"/>
    <x v="0"/>
    <x v="1"/>
    <n v="69"/>
    <x v="0"/>
  </r>
  <r>
    <n v="144"/>
    <n v="301.58"/>
    <n v="36668"/>
    <x v="2"/>
    <x v="0"/>
    <n v="77"/>
    <x v="0"/>
  </r>
  <r>
    <n v="143"/>
    <n v="497.75"/>
    <n v="57108"/>
    <x v="5"/>
    <x v="2"/>
    <n v="56"/>
    <x v="0"/>
  </r>
  <r>
    <n v="142"/>
    <n v="252.53"/>
    <n v="23954"/>
    <x v="5"/>
    <x v="4"/>
    <n v="54"/>
    <x v="0"/>
  </r>
  <r>
    <n v="141"/>
    <n v="962.48"/>
    <n v="11314"/>
    <x v="4"/>
    <x v="0"/>
    <n v="34"/>
    <x v="0"/>
  </r>
  <r>
    <n v="140"/>
    <n v="971.81"/>
    <n v="28732"/>
    <x v="4"/>
    <x v="3"/>
    <n v="57"/>
    <x v="0"/>
  </r>
  <r>
    <n v="139"/>
    <n v="364.27"/>
    <n v="75697"/>
    <x v="4"/>
    <x v="4"/>
    <n v="56"/>
    <x v="0"/>
  </r>
  <r>
    <n v="138"/>
    <n v="703.32"/>
    <n v="69724"/>
    <x v="2"/>
    <x v="0"/>
    <n v="21"/>
    <x v="0"/>
  </r>
  <r>
    <n v="137"/>
    <n v="519.27"/>
    <n v="33434"/>
    <x v="1"/>
    <x v="3"/>
    <n v="21"/>
    <x v="0"/>
  </r>
  <r>
    <n v="136"/>
    <n v="323.88"/>
    <n v="83807"/>
    <x v="1"/>
    <x v="3"/>
    <n v="50"/>
    <x v="0"/>
  </r>
  <r>
    <n v="135"/>
    <n v="942.97"/>
    <n v="41240"/>
    <x v="4"/>
    <x v="3"/>
    <n v="77"/>
    <x v="0"/>
  </r>
  <r>
    <n v="134"/>
    <n v="338.28"/>
    <n v="58243"/>
    <x v="1"/>
    <x v="2"/>
    <n v="33"/>
    <x v="0"/>
  </r>
  <r>
    <n v="133"/>
    <n v="120.75"/>
    <n v="24071"/>
    <x v="0"/>
    <x v="4"/>
    <n v="33"/>
    <x v="0"/>
  </r>
  <r>
    <n v="132"/>
    <n v="222.89"/>
    <n v="22415"/>
    <x v="2"/>
    <x v="2"/>
    <n v="24"/>
    <x v="0"/>
  </r>
  <r>
    <n v="131"/>
    <n v="417.99"/>
    <n v="11637"/>
    <x v="0"/>
    <x v="4"/>
    <n v="68"/>
    <x v="0"/>
  </r>
  <r>
    <n v="130"/>
    <n v="511.24"/>
    <n v="6090"/>
    <x v="5"/>
    <x v="2"/>
    <n v="63"/>
    <x v="0"/>
  </r>
  <r>
    <n v="129"/>
    <m/>
    <n v="71774"/>
    <x v="0"/>
    <x v="1"/>
    <n v="79"/>
    <x v="0"/>
  </r>
  <r>
    <n v="128"/>
    <n v="860.87"/>
    <n v="80719"/>
    <x v="3"/>
    <x v="0"/>
    <n v="45"/>
    <x v="1"/>
  </r>
  <r>
    <n v="127"/>
    <n v="818.2"/>
    <n v="24214"/>
    <x v="0"/>
    <x v="3"/>
    <n v="26"/>
    <x v="0"/>
  </r>
  <r>
    <n v="126"/>
    <n v="427.68"/>
    <n v="17144"/>
    <x v="0"/>
    <x v="2"/>
    <n v="38"/>
    <x v="0"/>
  </r>
  <r>
    <n v="125"/>
    <n v="228.71"/>
    <n v="6254"/>
    <x v="3"/>
    <x v="3"/>
    <n v="52"/>
    <x v="0"/>
  </r>
  <r>
    <n v="124"/>
    <n v="8694.3333856651607"/>
    <n v="45002"/>
    <x v="3"/>
    <x v="1"/>
    <n v="26"/>
    <x v="0"/>
  </r>
  <r>
    <n v="123"/>
    <n v="318.69"/>
    <n v="12015"/>
    <x v="1"/>
    <x v="4"/>
    <n v="36"/>
    <x v="0"/>
  </r>
  <r>
    <n v="122"/>
    <n v="896.2"/>
    <n v="36586"/>
    <x v="4"/>
    <x v="3"/>
    <n v="40"/>
    <x v="0"/>
  </r>
  <r>
    <n v="121"/>
    <n v="7839.8714865804004"/>
    <n v="69836"/>
    <x v="2"/>
    <x v="2"/>
    <n v="26"/>
    <x v="0"/>
  </r>
  <r>
    <n v="120"/>
    <n v="539.79999999999995"/>
    <n v="5569"/>
    <x v="1"/>
    <x v="1"/>
    <n v="32"/>
    <x v="1"/>
  </r>
  <r>
    <n v="119"/>
    <n v="892.67"/>
    <n v="14388"/>
    <x v="0"/>
    <x v="1"/>
    <n v="73"/>
    <x v="0"/>
  </r>
  <r>
    <n v="118"/>
    <n v="187.38"/>
    <n v="73477"/>
    <x v="0"/>
    <x v="2"/>
    <n v="48"/>
    <x v="0"/>
  </r>
  <r>
    <n v="117"/>
    <n v="803.87"/>
    <n v="55123"/>
    <x v="4"/>
    <x v="4"/>
    <n v="78"/>
    <x v="0"/>
  </r>
  <r>
    <n v="116"/>
    <n v="871.59"/>
    <n v="19963"/>
    <x v="3"/>
    <x v="2"/>
    <n v="67"/>
    <x v="0"/>
  </r>
  <r>
    <n v="115"/>
    <m/>
    <n v="85392"/>
    <x v="0"/>
    <x v="2"/>
    <n v="28"/>
    <x v="0"/>
  </r>
  <r>
    <n v="114"/>
    <n v="808.31"/>
    <n v="55479"/>
    <x v="0"/>
    <x v="4"/>
    <n v="79"/>
    <x v="0"/>
  </r>
  <r>
    <n v="113"/>
    <n v="929.77"/>
    <n v="39811"/>
    <x v="2"/>
    <x v="2"/>
    <n v="19"/>
    <x v="1"/>
  </r>
  <r>
    <n v="112"/>
    <n v="162.06"/>
    <n v="43088"/>
    <x v="2"/>
    <x v="3"/>
    <n v="42"/>
    <x v="0"/>
  </r>
  <r>
    <n v="111"/>
    <n v="290.45999999999998"/>
    <n v="52329"/>
    <x v="1"/>
    <x v="2"/>
    <n v="27"/>
    <x v="0"/>
  </r>
  <r>
    <n v="110"/>
    <n v="77.900000000000006"/>
    <n v="70390"/>
    <x v="0"/>
    <x v="4"/>
    <n v="51"/>
    <x v="0"/>
  </r>
  <r>
    <n v="109"/>
    <n v="229.57"/>
    <n v="70173"/>
    <x v="3"/>
    <x v="0"/>
    <n v="36"/>
    <x v="0"/>
  </r>
  <r>
    <n v="108"/>
    <n v="755.8"/>
    <n v="42318"/>
    <x v="2"/>
    <x v="1"/>
    <n v="22"/>
    <x v="0"/>
  </r>
  <r>
    <n v="107"/>
    <n v="410.97"/>
    <n v="56800"/>
    <x v="0"/>
    <x v="0"/>
    <n v="68"/>
    <x v="0"/>
  </r>
  <r>
    <n v="106"/>
    <n v="250.04"/>
    <n v="53413"/>
    <x v="4"/>
    <x v="2"/>
    <n v="48"/>
    <x v="0"/>
  </r>
  <r>
    <n v="105"/>
    <n v="907.66"/>
    <n v="83251"/>
    <x v="0"/>
    <x v="4"/>
    <n v="36"/>
    <x v="0"/>
  </r>
  <r>
    <n v="104"/>
    <n v="509.06"/>
    <n v="75745"/>
    <x v="3"/>
    <x v="4"/>
    <n v="40"/>
    <x v="0"/>
  </r>
  <r>
    <n v="103"/>
    <n v="315.04000000000002"/>
    <n v="61886"/>
    <x v="1"/>
    <x v="4"/>
    <n v="77"/>
    <x v="0"/>
  </r>
  <r>
    <n v="102"/>
    <n v="636.77"/>
    <n v="23386"/>
    <x v="1"/>
    <x v="4"/>
    <n v="19"/>
    <x v="0"/>
  </r>
  <r>
    <n v="101"/>
    <n v="32.4"/>
    <n v="25934"/>
    <x v="3"/>
    <x v="4"/>
    <n v="79"/>
    <x v="0"/>
  </r>
  <r>
    <n v="100"/>
    <n v="108.78"/>
    <n v="6941"/>
    <x v="2"/>
    <x v="3"/>
    <n v="60"/>
    <x v="0"/>
  </r>
  <r>
    <n v="99"/>
    <n v="26.39"/>
    <n v="73553"/>
    <x v="1"/>
    <x v="4"/>
    <n v="46"/>
    <x v="0"/>
  </r>
  <r>
    <n v="98"/>
    <n v="428.11"/>
    <n v="55393"/>
    <x v="5"/>
    <x v="3"/>
    <n v="49"/>
    <x v="0"/>
  </r>
  <r>
    <n v="97"/>
    <n v="523.21"/>
    <n v="6949"/>
    <x v="2"/>
    <x v="2"/>
    <n v="23"/>
    <x v="0"/>
  </r>
  <r>
    <n v="96"/>
    <n v="494.3"/>
    <n v="78587"/>
    <x v="1"/>
    <x v="3"/>
    <n v="77"/>
    <x v="0"/>
  </r>
  <r>
    <n v="95"/>
    <m/>
    <n v="65215"/>
    <x v="2"/>
    <x v="0"/>
    <n v="46"/>
    <x v="0"/>
  </r>
  <r>
    <n v="94"/>
    <n v="561.72"/>
    <n v="81317"/>
    <x v="4"/>
    <x v="4"/>
    <n v="35"/>
    <x v="0"/>
  </r>
  <r>
    <n v="93"/>
    <n v="761.02"/>
    <n v="59494"/>
    <x v="2"/>
    <x v="0"/>
    <n v="37"/>
    <x v="0"/>
  </r>
  <r>
    <n v="92"/>
    <n v="713.53"/>
    <n v="53682"/>
    <x v="5"/>
    <x v="3"/>
    <n v="31"/>
    <x v="0"/>
  </r>
  <r>
    <n v="91"/>
    <n v="120.47"/>
    <n v="37441"/>
    <x v="1"/>
    <x v="3"/>
    <n v="48"/>
    <x v="0"/>
  </r>
  <r>
    <n v="90"/>
    <n v="472.74"/>
    <n v="77709"/>
    <x v="0"/>
    <x v="1"/>
    <n v="30"/>
    <x v="0"/>
  </r>
  <r>
    <n v="89"/>
    <m/>
    <n v="39764"/>
    <x v="4"/>
    <x v="1"/>
    <m/>
    <x v="1"/>
  </r>
  <r>
    <n v="88"/>
    <n v="637.91999999999996"/>
    <n v="1252"/>
    <x v="0"/>
    <x v="2"/>
    <n v="49"/>
    <x v="0"/>
  </r>
  <r>
    <n v="87"/>
    <n v="729.88"/>
    <n v="44238"/>
    <x v="2"/>
    <x v="4"/>
    <n v="49"/>
    <x v="0"/>
  </r>
  <r>
    <n v="86"/>
    <n v="325.86"/>
    <n v="15254"/>
    <x v="1"/>
    <x v="1"/>
    <n v="29"/>
    <x v="0"/>
  </r>
  <r>
    <n v="85"/>
    <n v="311.67"/>
    <n v="19758"/>
    <x v="2"/>
    <x v="1"/>
    <n v="77"/>
    <x v="0"/>
  </r>
  <r>
    <n v="84"/>
    <n v="64.489999999999995"/>
    <n v="19198"/>
    <x v="3"/>
    <x v="0"/>
    <n v="62"/>
    <x v="0"/>
  </r>
  <r>
    <n v="83"/>
    <n v="331.57"/>
    <n v="53871"/>
    <x v="1"/>
    <x v="3"/>
    <n v="21"/>
    <x v="0"/>
  </r>
  <r>
    <n v="82"/>
    <n v="623.66999999999996"/>
    <n v="42808"/>
    <x v="4"/>
    <x v="1"/>
    <n v="32"/>
    <x v="0"/>
  </r>
  <r>
    <n v="81"/>
    <n v="863.24"/>
    <n v="37626"/>
    <x v="2"/>
    <x v="2"/>
    <n v="42"/>
    <x v="0"/>
  </r>
  <r>
    <n v="80"/>
    <n v="116.75"/>
    <n v="24285"/>
    <x v="4"/>
    <x v="2"/>
    <n v="21"/>
    <x v="0"/>
  </r>
  <r>
    <n v="79"/>
    <n v="359.11"/>
    <n v="73963"/>
    <x v="1"/>
    <x v="4"/>
    <n v="51"/>
    <x v="0"/>
  </r>
  <r>
    <n v="78"/>
    <n v="74.97"/>
    <n v="42944"/>
    <x v="4"/>
    <x v="1"/>
    <m/>
    <x v="0"/>
  </r>
  <r>
    <n v="77"/>
    <n v="771.5"/>
    <n v="37131"/>
    <x v="5"/>
    <x v="3"/>
    <n v="25"/>
    <x v="0"/>
  </r>
  <r>
    <n v="76"/>
    <n v="729.28"/>
    <n v="32049"/>
    <x v="1"/>
    <x v="3"/>
    <n v="51"/>
    <x v="0"/>
  </r>
  <r>
    <n v="75"/>
    <n v="707.15"/>
    <n v="49922"/>
    <x v="2"/>
    <x v="3"/>
    <n v="70"/>
    <x v="0"/>
  </r>
  <r>
    <n v="74"/>
    <n v="815.65"/>
    <n v="43125"/>
    <x v="1"/>
    <x v="4"/>
    <n v="30"/>
    <x v="0"/>
  </r>
  <r>
    <n v="73"/>
    <n v="6.52"/>
    <n v="61877"/>
    <x v="0"/>
    <x v="1"/>
    <n v="42"/>
    <x v="0"/>
  </r>
  <r>
    <n v="72"/>
    <n v="199.52"/>
    <n v="58017"/>
    <x v="2"/>
    <x v="2"/>
    <n v="23"/>
    <x v="0"/>
  </r>
  <r>
    <n v="71"/>
    <m/>
    <n v="14489"/>
    <x v="5"/>
    <x v="1"/>
    <n v="58"/>
    <x v="0"/>
  </r>
  <r>
    <n v="70"/>
    <n v="986.9"/>
    <n v="7239"/>
    <x v="2"/>
    <x v="3"/>
    <n v="52"/>
    <x v="0"/>
  </r>
  <r>
    <n v="69"/>
    <n v="75.48"/>
    <n v="36187"/>
    <x v="2"/>
    <x v="0"/>
    <n v="20"/>
    <x v="0"/>
  </r>
  <r>
    <n v="68"/>
    <n v="802.39"/>
    <n v="45543"/>
    <x v="1"/>
    <x v="3"/>
    <n v="69"/>
    <x v="0"/>
  </r>
  <r>
    <n v="67"/>
    <n v="141.78"/>
    <n v="37744"/>
    <x v="1"/>
    <x v="4"/>
    <n v="78"/>
    <x v="0"/>
  </r>
  <r>
    <n v="66"/>
    <n v="543.15"/>
    <n v="70080"/>
    <x v="3"/>
    <x v="4"/>
    <n v="63"/>
    <x v="0"/>
  </r>
  <r>
    <n v="65"/>
    <n v="281.64999999999998"/>
    <n v="21949"/>
    <x v="0"/>
    <x v="2"/>
    <n v="71"/>
    <x v="0"/>
  </r>
  <r>
    <n v="64"/>
    <n v="357.4"/>
    <n v="57091"/>
    <x v="4"/>
    <x v="1"/>
    <n v="33"/>
    <x v="0"/>
  </r>
  <r>
    <n v="63"/>
    <n v="828.91"/>
    <n v="17100"/>
    <x v="4"/>
    <x v="2"/>
    <n v="63"/>
    <x v="0"/>
  </r>
  <r>
    <n v="62"/>
    <n v="272.08"/>
    <n v="53932"/>
    <x v="2"/>
    <x v="4"/>
    <n v="18"/>
    <x v="0"/>
  </r>
  <r>
    <n v="61"/>
    <n v="389.29"/>
    <n v="45106"/>
    <x v="1"/>
    <x v="0"/>
    <n v="31"/>
    <x v="0"/>
  </r>
  <r>
    <n v="60"/>
    <n v="326.01"/>
    <n v="34816"/>
    <x v="4"/>
    <x v="1"/>
    <n v="48"/>
    <x v="0"/>
  </r>
  <r>
    <n v="59"/>
    <n v="46.18"/>
    <n v="38765"/>
    <x v="4"/>
    <x v="2"/>
    <n v="53"/>
    <x v="0"/>
  </r>
  <r>
    <n v="58"/>
    <n v="196.79"/>
    <n v="56397"/>
    <x v="0"/>
    <x v="2"/>
    <n v="50"/>
    <x v="0"/>
  </r>
  <r>
    <n v="57"/>
    <n v="89.4"/>
    <n v="13456"/>
    <x v="1"/>
    <x v="4"/>
    <n v="71"/>
    <x v="0"/>
  </r>
  <r>
    <n v="56"/>
    <n v="921.95"/>
    <n v="53330"/>
    <x v="4"/>
    <x v="4"/>
    <n v="78"/>
    <x v="0"/>
  </r>
  <r>
    <n v="55"/>
    <n v="598.29999999999995"/>
    <n v="32201"/>
    <x v="0"/>
    <x v="1"/>
    <n v="42"/>
    <x v="0"/>
  </r>
  <r>
    <n v="54"/>
    <n v="894.93"/>
    <n v="4809"/>
    <x v="1"/>
    <x v="1"/>
    <n v="19"/>
    <x v="0"/>
  </r>
  <r>
    <n v="53"/>
    <n v="939.56"/>
    <n v="10916"/>
    <x v="4"/>
    <x v="4"/>
    <n v="42"/>
    <x v="1"/>
  </r>
  <r>
    <n v="52"/>
    <n v="775.36"/>
    <n v="69172"/>
    <x v="3"/>
    <x v="4"/>
    <n v="27"/>
    <x v="0"/>
  </r>
  <r>
    <n v="51"/>
    <n v="969.62"/>
    <n v="23524"/>
    <x v="1"/>
    <x v="2"/>
    <n v="35"/>
    <x v="0"/>
  </r>
  <r>
    <n v="50"/>
    <n v="185.67"/>
    <n v="23574"/>
    <x v="3"/>
    <x v="4"/>
    <n v="37"/>
    <x v="1"/>
  </r>
  <r>
    <n v="49"/>
    <n v="547.16"/>
    <n v="50612"/>
    <x v="0"/>
    <x v="2"/>
    <n v="31"/>
    <x v="0"/>
  </r>
  <r>
    <n v="48"/>
    <n v="520.54999999999995"/>
    <n v="80642"/>
    <x v="3"/>
    <x v="0"/>
    <n v="35"/>
    <x v="0"/>
  </r>
  <r>
    <n v="47"/>
    <n v="312.39999999999998"/>
    <n v="9860"/>
    <x v="2"/>
    <x v="0"/>
    <n v="52"/>
    <x v="1"/>
  </r>
  <r>
    <n v="46"/>
    <n v="662.86"/>
    <n v="60100"/>
    <x v="1"/>
    <x v="0"/>
    <n v="19"/>
    <x v="0"/>
  </r>
  <r>
    <n v="45"/>
    <n v="259.52"/>
    <n v="18384"/>
    <x v="4"/>
    <x v="1"/>
    <n v="44"/>
    <x v="0"/>
  </r>
  <r>
    <n v="44"/>
    <n v="909.41"/>
    <n v="12763"/>
    <x v="2"/>
    <x v="1"/>
    <n v="19"/>
    <x v="0"/>
  </r>
  <r>
    <n v="43"/>
    <n v="35.35"/>
    <n v="29189"/>
    <x v="2"/>
    <x v="3"/>
    <n v="52"/>
    <x v="0"/>
  </r>
  <r>
    <n v="42"/>
    <n v="495.68"/>
    <n v="47926"/>
    <x v="5"/>
    <x v="1"/>
    <m/>
    <x v="0"/>
  </r>
  <r>
    <n v="41"/>
    <n v="122.92"/>
    <n v="40943"/>
    <x v="3"/>
    <x v="0"/>
    <n v="32"/>
    <x v="0"/>
  </r>
  <r>
    <n v="40"/>
    <n v="440.71"/>
    <n v="404"/>
    <x v="0"/>
    <x v="4"/>
    <n v="26"/>
    <x v="0"/>
  </r>
  <r>
    <n v="39"/>
    <m/>
    <n v="384"/>
    <x v="1"/>
    <x v="2"/>
    <n v="31"/>
    <x v="0"/>
  </r>
  <r>
    <n v="38"/>
    <n v="98.57"/>
    <n v="8702"/>
    <x v="1"/>
    <x v="2"/>
    <n v="69"/>
    <x v="0"/>
  </r>
  <r>
    <n v="37"/>
    <n v="305.31"/>
    <n v="75880"/>
    <x v="5"/>
    <x v="2"/>
    <n v="24"/>
    <x v="0"/>
  </r>
  <r>
    <n v="36"/>
    <n v="808.59"/>
    <n v="18017"/>
    <x v="3"/>
    <x v="2"/>
    <n v="33"/>
    <x v="0"/>
  </r>
  <r>
    <n v="35"/>
    <n v="965.67"/>
    <n v="20384"/>
    <x v="2"/>
    <x v="2"/>
    <n v="20"/>
    <x v="0"/>
  </r>
  <r>
    <n v="34"/>
    <n v="948.94"/>
    <n v="46540"/>
    <x v="4"/>
    <x v="2"/>
    <m/>
    <x v="0"/>
  </r>
  <r>
    <n v="33"/>
    <n v="65.989999999999995"/>
    <n v="72474"/>
    <x v="1"/>
    <x v="2"/>
    <n v="31"/>
    <x v="0"/>
  </r>
  <r>
    <n v="32"/>
    <n v="171.35"/>
    <n v="6970"/>
    <x v="1"/>
    <x v="4"/>
    <n v="47"/>
    <x v="0"/>
  </r>
  <r>
    <n v="31"/>
    <n v="607.94000000000005"/>
    <n v="20309"/>
    <x v="3"/>
    <x v="3"/>
    <n v="59"/>
    <x v="0"/>
  </r>
  <r>
    <n v="30"/>
    <n v="47.4"/>
    <n v="62680"/>
    <x v="2"/>
    <x v="0"/>
    <n v="41"/>
    <x v="0"/>
  </r>
  <r>
    <n v="29"/>
    <n v="592.82000000000005"/>
    <n v="4158"/>
    <x v="3"/>
    <x v="3"/>
    <n v="47"/>
    <x v="0"/>
  </r>
  <r>
    <n v="28"/>
    <n v="514.72"/>
    <n v="23833"/>
    <x v="0"/>
    <x v="0"/>
    <n v="52"/>
    <x v="1"/>
  </r>
  <r>
    <n v="27"/>
    <n v="200.47"/>
    <n v="62292"/>
    <x v="2"/>
    <x v="0"/>
    <n v="62"/>
    <x v="0"/>
  </r>
  <r>
    <n v="26"/>
    <n v="785.39"/>
    <n v="8415"/>
    <x v="0"/>
    <x v="0"/>
    <n v="35"/>
    <x v="0"/>
  </r>
  <r>
    <n v="25"/>
    <n v="456.61"/>
    <n v="27712"/>
    <x v="2"/>
    <x v="2"/>
    <n v="55"/>
    <x v="0"/>
  </r>
  <r>
    <n v="24"/>
    <n v="367"/>
    <n v="61813"/>
    <x v="4"/>
    <x v="0"/>
    <m/>
    <x v="0"/>
  </r>
  <r>
    <n v="23"/>
    <n v="292.85000000000002"/>
    <n v="1015"/>
    <x v="5"/>
    <x v="4"/>
    <n v="66"/>
    <x v="0"/>
  </r>
  <r>
    <n v="22"/>
    <n v="140.35"/>
    <n v="37892"/>
    <x v="1"/>
    <x v="2"/>
    <n v="64"/>
    <x v="0"/>
  </r>
  <r>
    <n v="21"/>
    <n v="612.24"/>
    <n v="56570"/>
    <x v="5"/>
    <x v="2"/>
    <n v="29"/>
    <x v="0"/>
  </r>
  <r>
    <n v="20"/>
    <n v="291.94"/>
    <n v="23793"/>
    <x v="2"/>
    <x v="0"/>
    <n v="59"/>
    <x v="0"/>
  </r>
  <r>
    <n v="19"/>
    <n v="7661.4593797572697"/>
    <n v="58141"/>
    <x v="3"/>
    <x v="4"/>
    <n v="69"/>
    <x v="0"/>
  </r>
  <r>
    <n v="18"/>
    <n v="525.23"/>
    <n v="84791"/>
    <x v="5"/>
    <x v="4"/>
    <n v="54"/>
    <x v="0"/>
  </r>
  <r>
    <n v="17"/>
    <n v="304.94"/>
    <n v="65545"/>
    <x v="0"/>
    <x v="0"/>
    <n v="77"/>
    <x v="0"/>
  </r>
  <r>
    <n v="16"/>
    <n v="184.22"/>
    <n v="75672"/>
    <x v="0"/>
    <x v="4"/>
    <n v="39"/>
    <x v="0"/>
  </r>
  <r>
    <n v="15"/>
    <n v="182.64"/>
    <n v="50990"/>
    <x v="1"/>
    <x v="0"/>
    <n v="32"/>
    <x v="0"/>
  </r>
  <r>
    <n v="14"/>
    <n v="213.13"/>
    <n v="70340"/>
    <x v="3"/>
    <x v="0"/>
    <m/>
    <x v="0"/>
  </r>
  <r>
    <n v="13"/>
    <n v="832.61"/>
    <n v="49407"/>
    <x v="4"/>
    <x v="1"/>
    <n v="39"/>
    <x v="0"/>
  </r>
  <r>
    <n v="12"/>
    <n v="969.94"/>
    <n v="56178"/>
    <x v="0"/>
    <x v="1"/>
    <n v="52"/>
    <x v="0"/>
  </r>
  <r>
    <n v="11"/>
    <n v="21.56"/>
    <n v="5713"/>
    <x v="0"/>
    <x v="0"/>
    <n v="23"/>
    <x v="0"/>
  </r>
  <r>
    <n v="10"/>
    <n v="708.36"/>
    <n v="45445"/>
    <x v="2"/>
    <x v="4"/>
    <n v="72"/>
    <x v="0"/>
  </r>
  <r>
    <n v="9"/>
    <n v="601.51"/>
    <n v="34349"/>
    <x v="4"/>
    <x v="0"/>
    <n v="35"/>
    <x v="0"/>
  </r>
  <r>
    <n v="8"/>
    <n v="866.31"/>
    <n v="27532"/>
    <x v="2"/>
    <x v="0"/>
    <n v="21"/>
    <x v="0"/>
  </r>
  <r>
    <n v="7"/>
    <n v="59.03"/>
    <n v="82844"/>
    <x v="0"/>
    <x v="3"/>
    <n v="43"/>
    <x v="0"/>
  </r>
  <r>
    <n v="6"/>
    <n v="156.84"/>
    <n v="35547"/>
    <x v="0"/>
    <x v="1"/>
    <n v="40"/>
    <x v="0"/>
  </r>
  <r>
    <n v="5"/>
    <n v="156.86000000000001"/>
    <n v="57043"/>
    <x v="4"/>
    <x v="2"/>
    <n v="79"/>
    <x v="0"/>
  </r>
  <r>
    <n v="4"/>
    <n v="599.05999999999995"/>
    <n v="55284"/>
    <x v="4"/>
    <x v="2"/>
    <n v="69"/>
    <x v="0"/>
  </r>
  <r>
    <n v="3"/>
    <n v="732.26"/>
    <n v="78752"/>
    <x v="2"/>
    <x v="3"/>
    <n v="20"/>
    <x v="0"/>
  </r>
  <r>
    <n v="2"/>
    <n v="950.76"/>
    <n v="38088"/>
    <x v="1"/>
    <x v="0"/>
    <n v="28"/>
    <x v="0"/>
  </r>
  <r>
    <n v="1"/>
    <n v="375.17"/>
    <n v="47605"/>
    <x v="3"/>
    <x v="3"/>
    <n v="1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500"/>
    <n v="986.22"/>
    <n v="81974"/>
    <s v="Chicago"/>
    <x v="0"/>
    <n v="37"/>
    <x v="0"/>
    <x v="0"/>
  </r>
  <r>
    <n v="499"/>
    <n v="974.42"/>
    <n v="52603"/>
    <s v="Los Angeles"/>
    <x v="0"/>
    <n v="21"/>
    <x v="1"/>
    <x v="1"/>
  </r>
  <r>
    <n v="498"/>
    <n v="78.66"/>
    <n v="75629"/>
    <s v="Miami"/>
    <x v="1"/>
    <n v="78"/>
    <x v="0"/>
    <x v="2"/>
  </r>
  <r>
    <n v="497"/>
    <n v="584.07000000000005"/>
    <n v="78623"/>
    <s v="Miami"/>
    <x v="2"/>
    <n v="64"/>
    <x v="1"/>
    <x v="2"/>
  </r>
  <r>
    <n v="496"/>
    <n v="354"/>
    <n v="48770"/>
    <s v="Houston"/>
    <x v="3"/>
    <n v="21"/>
    <x v="0"/>
    <x v="3"/>
  </r>
  <r>
    <n v="495"/>
    <n v="464.23"/>
    <n v="40806"/>
    <s v="New York"/>
    <x v="0"/>
    <n v="75"/>
    <x v="0"/>
    <x v="4"/>
  </r>
  <r>
    <n v="494"/>
    <n v="188.93"/>
    <n v="12342"/>
    <s v="New York"/>
    <x v="2"/>
    <n v="54"/>
    <x v="0"/>
    <x v="4"/>
  </r>
  <r>
    <n v="493"/>
    <n v="278.10000000000002"/>
    <n v="52487"/>
    <s v="Houston"/>
    <x v="3"/>
    <n v="36"/>
    <x v="0"/>
    <x v="3"/>
  </r>
  <r>
    <n v="492"/>
    <n v="620.51"/>
    <n v="55168"/>
    <s v="Houston"/>
    <x v="2"/>
    <n v="73"/>
    <x v="0"/>
    <x v="3"/>
  </r>
  <r>
    <n v="491"/>
    <n v="456.2"/>
    <n v="65155"/>
    <s v="Houston"/>
    <x v="0"/>
    <n v="23"/>
    <x v="0"/>
    <x v="3"/>
  </r>
  <r>
    <n v="490"/>
    <n v="890.37"/>
    <n v="25522"/>
    <s v="New York"/>
    <x v="4"/>
    <m/>
    <x v="0"/>
    <x v="4"/>
  </r>
  <r>
    <n v="489"/>
    <n v="950.46"/>
    <n v="38565"/>
    <s v="New York"/>
    <x v="3"/>
    <n v="48"/>
    <x v="0"/>
    <x v="4"/>
  </r>
  <r>
    <n v="488"/>
    <n v="281.68"/>
    <n v="11485"/>
    <s v="Houston"/>
    <x v="2"/>
    <n v="68"/>
    <x v="0"/>
    <x v="3"/>
  </r>
  <r>
    <n v="487"/>
    <n v="46.4"/>
    <n v="26737"/>
    <s v="Chicago"/>
    <x v="4"/>
    <n v="33"/>
    <x v="0"/>
    <x v="0"/>
  </r>
  <r>
    <n v="486"/>
    <n v="901.26"/>
    <n v="38000"/>
    <s v="Los Angeles"/>
    <x v="4"/>
    <n v="28"/>
    <x v="0"/>
    <x v="1"/>
  </r>
  <r>
    <n v="485"/>
    <m/>
    <n v="6645"/>
    <s v="Houston"/>
    <x v="3"/>
    <n v="37"/>
    <x v="0"/>
    <x v="3"/>
  </r>
  <r>
    <n v="484"/>
    <n v="627.92999999999995"/>
    <n v="28865"/>
    <s v="Miami"/>
    <x v="0"/>
    <n v="74"/>
    <x v="0"/>
    <x v="2"/>
  </r>
  <r>
    <n v="483"/>
    <n v="455.09"/>
    <n v="48302"/>
    <s v="Houston"/>
    <x v="2"/>
    <n v="70"/>
    <x v="0"/>
    <x v="3"/>
  </r>
  <r>
    <n v="482"/>
    <n v="696.05"/>
    <n v="38258"/>
    <s v="Miami"/>
    <x v="4"/>
    <n v="51"/>
    <x v="0"/>
    <x v="2"/>
  </r>
  <r>
    <n v="481"/>
    <n v="629.77"/>
    <n v="64077"/>
    <s v="Chicago"/>
    <x v="3"/>
    <n v="74"/>
    <x v="0"/>
    <x v="0"/>
  </r>
  <r>
    <n v="480"/>
    <n v="523.57000000000005"/>
    <n v="33536"/>
    <s v="Houston"/>
    <x v="0"/>
    <n v="31"/>
    <x v="0"/>
    <x v="3"/>
  </r>
  <r>
    <n v="479"/>
    <n v="969.33"/>
    <n v="18449"/>
    <s v="Los Angeles"/>
    <x v="0"/>
    <n v="31"/>
    <x v="0"/>
    <x v="1"/>
  </r>
  <r>
    <n v="478"/>
    <n v="554.29999999999995"/>
    <n v="72847"/>
    <s v="Chicago"/>
    <x v="4"/>
    <n v="34"/>
    <x v="0"/>
    <x v="0"/>
  </r>
  <r>
    <n v="477"/>
    <n v="74.72"/>
    <n v="42460"/>
    <s v="Miami"/>
    <x v="4"/>
    <n v="29"/>
    <x v="0"/>
    <x v="2"/>
  </r>
  <r>
    <n v="476"/>
    <n v="992.97"/>
    <n v="27952"/>
    <s v="Miami"/>
    <x v="3"/>
    <n v="71"/>
    <x v="0"/>
    <x v="2"/>
  </r>
  <r>
    <n v="475"/>
    <n v="528.16999999999996"/>
    <n v="59676"/>
    <s v="New York"/>
    <x v="1"/>
    <n v="75"/>
    <x v="0"/>
    <x v="4"/>
  </r>
  <r>
    <n v="474"/>
    <n v="891.25"/>
    <n v="2717"/>
    <s v="New York"/>
    <x v="4"/>
    <n v="43"/>
    <x v="0"/>
    <x v="4"/>
  </r>
  <r>
    <n v="473"/>
    <n v="44.12"/>
    <n v="2079"/>
    <s v="Houston"/>
    <x v="3"/>
    <n v="59"/>
    <x v="0"/>
    <x v="3"/>
  </r>
  <r>
    <n v="472"/>
    <n v="969.91"/>
    <n v="58066"/>
    <s v="Chicago"/>
    <x v="1"/>
    <n v="39"/>
    <x v="0"/>
    <x v="0"/>
  </r>
  <r>
    <n v="471"/>
    <n v="13.14"/>
    <n v="33719"/>
    <s v="Houston"/>
    <x v="4"/>
    <n v="53"/>
    <x v="0"/>
    <x v="3"/>
  </r>
  <r>
    <n v="470"/>
    <n v="963.26"/>
    <n v="24442"/>
    <s v="Los Angeles"/>
    <x v="4"/>
    <n v="69"/>
    <x v="0"/>
    <x v="1"/>
  </r>
  <r>
    <n v="469"/>
    <n v="224.37"/>
    <n v="2482"/>
    <s v="Houston"/>
    <x v="0"/>
    <n v="26"/>
    <x v="0"/>
    <x v="3"/>
  </r>
  <r>
    <n v="468"/>
    <m/>
    <n v="41949"/>
    <s v="New York"/>
    <x v="4"/>
    <n v="30"/>
    <x v="0"/>
    <x v="4"/>
  </r>
  <r>
    <n v="467"/>
    <n v="286.43"/>
    <n v="1759"/>
    <s v="New York"/>
    <x v="0"/>
    <n v="65"/>
    <x v="0"/>
    <x v="4"/>
  </r>
  <r>
    <n v="466"/>
    <n v="375.5"/>
    <n v="75520"/>
    <s v="Chicago"/>
    <x v="2"/>
    <n v="58"/>
    <x v="0"/>
    <x v="0"/>
  </r>
  <r>
    <n v="465"/>
    <n v="962.21"/>
    <n v="20806"/>
    <s v="Miami"/>
    <x v="0"/>
    <n v="19"/>
    <x v="0"/>
    <x v="2"/>
  </r>
  <r>
    <n v="464"/>
    <n v="583.79"/>
    <n v="62823"/>
    <s v="Los Angeles"/>
    <x v="3"/>
    <m/>
    <x v="0"/>
    <x v="1"/>
  </r>
  <r>
    <n v="463"/>
    <n v="746.3"/>
    <n v="75452"/>
    <s v="Houston"/>
    <x v="3"/>
    <n v="44"/>
    <x v="0"/>
    <x v="3"/>
  </r>
  <r>
    <n v="462"/>
    <n v="649.55999999999995"/>
    <n v="21566"/>
    <s v="Los Angeles"/>
    <x v="3"/>
    <n v="56"/>
    <x v="0"/>
    <x v="1"/>
  </r>
  <r>
    <n v="461"/>
    <n v="118.41"/>
    <n v="24917"/>
    <s v="New York"/>
    <x v="4"/>
    <n v="63"/>
    <x v="0"/>
    <x v="4"/>
  </r>
  <r>
    <n v="460"/>
    <n v="119.7"/>
    <n v="52853"/>
    <s v="Chicago"/>
    <x v="2"/>
    <n v="38"/>
    <x v="0"/>
    <x v="0"/>
  </r>
  <r>
    <n v="459"/>
    <n v="57.25"/>
    <n v="49840"/>
    <s v="Chicago"/>
    <x v="4"/>
    <n v="27"/>
    <x v="0"/>
    <x v="0"/>
  </r>
  <r>
    <n v="458"/>
    <n v="469.19"/>
    <n v="19816"/>
    <s v="Miami"/>
    <x v="4"/>
    <n v="42"/>
    <x v="0"/>
    <x v="2"/>
  </r>
  <r>
    <n v="457"/>
    <n v="12.34"/>
    <n v="46163"/>
    <s v="New York"/>
    <x v="2"/>
    <n v="60"/>
    <x v="0"/>
    <x v="4"/>
  </r>
  <r>
    <n v="456"/>
    <n v="8293.5881936351107"/>
    <n v="70480"/>
    <s v="Chicago"/>
    <x v="1"/>
    <n v="51"/>
    <x v="0"/>
    <x v="0"/>
  </r>
  <r>
    <n v="455"/>
    <n v="112.09"/>
    <n v="27696"/>
    <s v="Houston"/>
    <x v="0"/>
    <n v="59"/>
    <x v="0"/>
    <x v="3"/>
  </r>
  <r>
    <n v="454"/>
    <n v="906.45"/>
    <n v="16241"/>
    <s v="Chicago"/>
    <x v="2"/>
    <n v="49"/>
    <x v="0"/>
    <x v="0"/>
  </r>
  <r>
    <n v="453"/>
    <n v="424.8"/>
    <n v="10395"/>
    <s v="Miami"/>
    <x v="4"/>
    <n v="52"/>
    <x v="0"/>
    <x v="2"/>
  </r>
  <r>
    <n v="452"/>
    <m/>
    <n v="19097"/>
    <s v="Miami"/>
    <x v="2"/>
    <n v="57"/>
    <x v="0"/>
    <x v="2"/>
  </r>
  <r>
    <n v="451"/>
    <n v="777.37"/>
    <n v="4757"/>
    <s v="Miami"/>
    <x v="1"/>
    <n v="21"/>
    <x v="0"/>
    <x v="2"/>
  </r>
  <r>
    <n v="450"/>
    <n v="84.42"/>
    <n v="37148"/>
    <s v="Houston"/>
    <x v="2"/>
    <n v="18"/>
    <x v="0"/>
    <x v="3"/>
  </r>
  <r>
    <n v="449"/>
    <n v="376.88"/>
    <n v="46240"/>
    <m/>
    <x v="3"/>
    <n v="20"/>
    <x v="0"/>
    <x v="3"/>
  </r>
  <r>
    <n v="448"/>
    <n v="753.62"/>
    <n v="19956"/>
    <s v="New York"/>
    <x v="4"/>
    <n v="22"/>
    <x v="0"/>
    <x v="4"/>
  </r>
  <r>
    <n v="447"/>
    <n v="986.02"/>
    <n v="45765"/>
    <s v="Chicago"/>
    <x v="1"/>
    <n v="61"/>
    <x v="0"/>
    <x v="0"/>
  </r>
  <r>
    <n v="446"/>
    <n v="947.3"/>
    <n v="70835"/>
    <s v="Chicago"/>
    <x v="2"/>
    <n v="18"/>
    <x v="0"/>
    <x v="0"/>
  </r>
  <r>
    <n v="445"/>
    <n v="812.99"/>
    <n v="67526"/>
    <s v="Chicago"/>
    <x v="3"/>
    <n v="25"/>
    <x v="0"/>
    <x v="0"/>
  </r>
  <r>
    <n v="444"/>
    <n v="371.27"/>
    <n v="79026"/>
    <s v="Houston"/>
    <x v="1"/>
    <n v="33"/>
    <x v="1"/>
    <x v="3"/>
  </r>
  <r>
    <n v="443"/>
    <n v="374.9"/>
    <n v="70507"/>
    <s v="Los Angeles"/>
    <x v="4"/>
    <n v="75"/>
    <x v="0"/>
    <x v="1"/>
  </r>
  <r>
    <n v="442"/>
    <n v="986.65"/>
    <n v="41914"/>
    <s v="Houston"/>
    <x v="3"/>
    <n v="59"/>
    <x v="0"/>
    <x v="3"/>
  </r>
  <r>
    <n v="441"/>
    <n v="85.75"/>
    <n v="6783"/>
    <s v="Chicago"/>
    <x v="4"/>
    <n v="25"/>
    <x v="0"/>
    <x v="0"/>
  </r>
  <r>
    <n v="440"/>
    <n v="82.27"/>
    <n v="36368"/>
    <s v="Miami"/>
    <x v="2"/>
    <n v="64"/>
    <x v="0"/>
    <x v="2"/>
  </r>
  <r>
    <n v="439"/>
    <n v="706.54"/>
    <n v="57761"/>
    <s v="Miami"/>
    <x v="4"/>
    <n v="54"/>
    <x v="0"/>
    <x v="2"/>
  </r>
  <r>
    <n v="438"/>
    <n v="822.04"/>
    <n v="8666"/>
    <s v="New York"/>
    <x v="0"/>
    <n v="42"/>
    <x v="0"/>
    <x v="4"/>
  </r>
  <r>
    <n v="437"/>
    <n v="73.69"/>
    <n v="8070"/>
    <s v="Miami"/>
    <x v="3"/>
    <n v="64"/>
    <x v="0"/>
    <x v="2"/>
  </r>
  <r>
    <n v="436"/>
    <n v="701.27"/>
    <n v="8577"/>
    <s v="Chicago"/>
    <x v="4"/>
    <n v="61"/>
    <x v="0"/>
    <x v="0"/>
  </r>
  <r>
    <n v="435"/>
    <n v="85.02"/>
    <n v="73509"/>
    <s v="New York"/>
    <x v="0"/>
    <n v="56"/>
    <x v="0"/>
    <x v="4"/>
  </r>
  <r>
    <n v="434"/>
    <n v="102.02"/>
    <n v="49688"/>
    <s v="Houston"/>
    <x v="1"/>
    <n v="47"/>
    <x v="0"/>
    <x v="3"/>
  </r>
  <r>
    <n v="433"/>
    <n v="618.6"/>
    <n v="63731"/>
    <s v="Miami"/>
    <x v="0"/>
    <n v="46"/>
    <x v="0"/>
    <x v="2"/>
  </r>
  <r>
    <n v="432"/>
    <n v="761.75"/>
    <n v="25150"/>
    <m/>
    <x v="0"/>
    <n v="40"/>
    <x v="0"/>
    <x v="2"/>
  </r>
  <r>
    <n v="431"/>
    <n v="143.85"/>
    <n v="40738"/>
    <s v="Los Angeles"/>
    <x v="1"/>
    <n v="36"/>
    <x v="0"/>
    <x v="1"/>
  </r>
  <r>
    <n v="430"/>
    <n v="117.95"/>
    <n v="13224"/>
    <s v="Los Angeles"/>
    <x v="4"/>
    <n v="71"/>
    <x v="0"/>
    <x v="1"/>
  </r>
  <r>
    <n v="429"/>
    <n v="351.56"/>
    <n v="39224"/>
    <s v="Los Angeles"/>
    <x v="0"/>
    <n v="20"/>
    <x v="0"/>
    <x v="1"/>
  </r>
  <r>
    <n v="428"/>
    <n v="887.82"/>
    <n v="57545"/>
    <s v="Chicago"/>
    <x v="3"/>
    <n v="73"/>
    <x v="0"/>
    <x v="0"/>
  </r>
  <r>
    <n v="427"/>
    <n v="442.09"/>
    <n v="75060"/>
    <s v="Chicago"/>
    <x v="4"/>
    <n v="50"/>
    <x v="0"/>
    <x v="0"/>
  </r>
  <r>
    <n v="426"/>
    <n v="549.98"/>
    <n v="56264"/>
    <s v="New York"/>
    <x v="3"/>
    <n v="78"/>
    <x v="0"/>
    <x v="4"/>
  </r>
  <r>
    <n v="425"/>
    <n v="58.5"/>
    <n v="11694"/>
    <s v="Chicago"/>
    <x v="2"/>
    <n v="54"/>
    <x v="0"/>
    <x v="0"/>
  </r>
  <r>
    <n v="424"/>
    <n v="494.93"/>
    <n v="68244"/>
    <s v="Miami"/>
    <x v="2"/>
    <n v="5"/>
    <x v="0"/>
    <x v="2"/>
  </r>
  <r>
    <n v="423"/>
    <n v="92.11"/>
    <n v="63374"/>
    <s v="Houston"/>
    <x v="4"/>
    <n v="39"/>
    <x v="0"/>
    <x v="3"/>
  </r>
  <r>
    <n v="422"/>
    <n v="789.83"/>
    <n v="39282"/>
    <s v="Miami"/>
    <x v="1"/>
    <n v="30"/>
    <x v="0"/>
    <x v="2"/>
  </r>
  <r>
    <n v="421"/>
    <n v="791.79"/>
    <n v="37430"/>
    <s v="Houston"/>
    <x v="4"/>
    <n v="61"/>
    <x v="0"/>
    <x v="3"/>
  </r>
  <r>
    <n v="420"/>
    <n v="752.62"/>
    <n v="53173"/>
    <s v="Chicago"/>
    <x v="1"/>
    <n v="41"/>
    <x v="0"/>
    <x v="0"/>
  </r>
  <r>
    <n v="419"/>
    <n v="672.85"/>
    <n v="19256"/>
    <s v="Chicago"/>
    <x v="0"/>
    <n v="40"/>
    <x v="0"/>
    <x v="0"/>
  </r>
  <r>
    <n v="418"/>
    <n v="329.34"/>
    <n v="47523"/>
    <s v="Houston"/>
    <x v="0"/>
    <n v="68"/>
    <x v="0"/>
    <x v="3"/>
  </r>
  <r>
    <n v="417"/>
    <n v="293.92"/>
    <n v="1645"/>
    <s v="Houston"/>
    <x v="3"/>
    <n v="32"/>
    <x v="0"/>
    <x v="3"/>
  </r>
  <r>
    <n v="416"/>
    <n v="449"/>
    <n v="36244"/>
    <s v="Miami"/>
    <x v="2"/>
    <n v="48"/>
    <x v="0"/>
    <x v="2"/>
  </r>
  <r>
    <n v="415"/>
    <n v="632.21"/>
    <n v="22116"/>
    <s v="Los Angeles"/>
    <x v="1"/>
    <n v="67"/>
    <x v="0"/>
    <x v="1"/>
  </r>
  <r>
    <n v="414"/>
    <n v="573.86"/>
    <n v="76589"/>
    <s v="Los Angeles"/>
    <x v="2"/>
    <n v="44"/>
    <x v="0"/>
    <x v="1"/>
  </r>
  <r>
    <n v="413"/>
    <n v="950.66"/>
    <n v="34560"/>
    <s v="Chicago"/>
    <x v="3"/>
    <n v="69"/>
    <x v="0"/>
    <x v="0"/>
  </r>
  <r>
    <n v="412"/>
    <n v="950.11"/>
    <n v="13718"/>
    <s v="Los Angeles"/>
    <x v="1"/>
    <n v="32"/>
    <x v="0"/>
    <x v="1"/>
  </r>
  <r>
    <n v="411"/>
    <n v="319.99"/>
    <n v="47882"/>
    <s v="New York"/>
    <x v="2"/>
    <n v="38"/>
    <x v="1"/>
    <x v="4"/>
  </r>
  <r>
    <n v="410"/>
    <n v="92.2"/>
    <n v="3797"/>
    <s v="Los Angeles"/>
    <x v="0"/>
    <n v="46"/>
    <x v="0"/>
    <x v="1"/>
  </r>
  <r>
    <n v="409"/>
    <n v="905.48"/>
    <n v="68904"/>
    <s v="New York"/>
    <x v="0"/>
    <n v="19"/>
    <x v="0"/>
    <x v="4"/>
  </r>
  <r>
    <n v="408"/>
    <n v="11.83"/>
    <n v="44327"/>
    <s v="Houston"/>
    <x v="3"/>
    <n v="35"/>
    <x v="0"/>
    <x v="3"/>
  </r>
  <r>
    <n v="407"/>
    <n v="389.81"/>
    <n v="86066"/>
    <s v="New York"/>
    <x v="3"/>
    <n v="30"/>
    <x v="0"/>
    <x v="4"/>
  </r>
  <r>
    <n v="406"/>
    <n v="895.63"/>
    <n v="55176"/>
    <s v="Chicago"/>
    <x v="0"/>
    <n v="46"/>
    <x v="0"/>
    <x v="0"/>
  </r>
  <r>
    <n v="405"/>
    <n v="320.73"/>
    <n v="65310"/>
    <s v="Houston"/>
    <x v="2"/>
    <n v="45"/>
    <x v="0"/>
    <x v="3"/>
  </r>
  <r>
    <n v="404"/>
    <m/>
    <n v="27632"/>
    <s v="Los Angeles"/>
    <x v="1"/>
    <n v="39"/>
    <x v="0"/>
    <x v="1"/>
  </r>
  <r>
    <n v="403"/>
    <n v="6481.7880675664401"/>
    <n v="52329"/>
    <s v="Houston"/>
    <x v="4"/>
    <n v="42"/>
    <x v="0"/>
    <x v="3"/>
  </r>
  <r>
    <n v="402"/>
    <n v="902.65"/>
    <n v="126"/>
    <m/>
    <x v="1"/>
    <n v="60"/>
    <x v="0"/>
    <x v="0"/>
  </r>
  <r>
    <n v="401"/>
    <n v="104.02"/>
    <n v="53028"/>
    <s v="Houston"/>
    <x v="3"/>
    <n v="39"/>
    <x v="0"/>
    <x v="3"/>
  </r>
  <r>
    <n v="400"/>
    <n v="754.79"/>
    <n v="60279"/>
    <s v="Miami"/>
    <x v="0"/>
    <n v="39"/>
    <x v="0"/>
    <x v="2"/>
  </r>
  <r>
    <n v="399"/>
    <n v="751.12"/>
    <n v="64644"/>
    <s v="Miami"/>
    <x v="3"/>
    <n v="28"/>
    <x v="0"/>
    <x v="2"/>
  </r>
  <r>
    <n v="398"/>
    <n v="429.57"/>
    <n v="80879"/>
    <s v="Houston"/>
    <x v="0"/>
    <n v="49"/>
    <x v="0"/>
    <x v="3"/>
  </r>
  <r>
    <n v="397"/>
    <n v="858.55"/>
    <n v="37219"/>
    <s v="Houston"/>
    <x v="2"/>
    <n v="61"/>
    <x v="0"/>
    <x v="3"/>
  </r>
  <r>
    <n v="396"/>
    <n v="930.83"/>
    <n v="39915"/>
    <s v="Los Angeles"/>
    <x v="4"/>
    <n v="40"/>
    <x v="0"/>
    <x v="1"/>
  </r>
  <r>
    <n v="395"/>
    <n v="341.46"/>
    <n v="85451"/>
    <s v="New York"/>
    <x v="1"/>
    <n v="24"/>
    <x v="0"/>
    <x v="4"/>
  </r>
  <r>
    <n v="394"/>
    <n v="776.64"/>
    <n v="27306"/>
    <s v="Los Angeles"/>
    <x v="0"/>
    <n v="63"/>
    <x v="0"/>
    <x v="1"/>
  </r>
  <r>
    <n v="393"/>
    <m/>
    <n v="56942"/>
    <s v="Chicago"/>
    <x v="3"/>
    <n v="57"/>
    <x v="0"/>
    <x v="0"/>
  </r>
  <r>
    <n v="392"/>
    <n v="413.21"/>
    <n v="15328"/>
    <s v="Chicago"/>
    <x v="2"/>
    <n v="63"/>
    <x v="0"/>
    <x v="0"/>
  </r>
  <r>
    <n v="391"/>
    <m/>
    <n v="17368"/>
    <s v="Miami"/>
    <x v="0"/>
    <n v="25"/>
    <x v="0"/>
    <x v="2"/>
  </r>
  <r>
    <n v="390"/>
    <n v="807.03"/>
    <n v="73319"/>
    <s v="Houston"/>
    <x v="2"/>
    <n v="79"/>
    <x v="0"/>
    <x v="3"/>
  </r>
  <r>
    <n v="389"/>
    <n v="750.86"/>
    <n v="75916"/>
    <s v="Los Angeles"/>
    <x v="4"/>
    <n v="38"/>
    <x v="0"/>
    <x v="1"/>
  </r>
  <r>
    <n v="388"/>
    <n v="178.26"/>
    <n v="75993"/>
    <s v="New York"/>
    <x v="1"/>
    <n v="79"/>
    <x v="0"/>
    <x v="4"/>
  </r>
  <r>
    <n v="387"/>
    <n v="282.75"/>
    <n v="2443"/>
    <s v="New York"/>
    <x v="2"/>
    <n v="30"/>
    <x v="0"/>
    <x v="4"/>
  </r>
  <r>
    <n v="386"/>
    <n v="803.68"/>
    <n v="76077"/>
    <s v="New York"/>
    <x v="0"/>
    <m/>
    <x v="0"/>
    <x v="4"/>
  </r>
  <r>
    <n v="385"/>
    <n v="735.34"/>
    <n v="814"/>
    <s v="Chicago"/>
    <x v="2"/>
    <n v="35"/>
    <x v="0"/>
    <x v="0"/>
  </r>
  <r>
    <n v="384"/>
    <n v="877.59"/>
    <n v="55318"/>
    <s v="Miami"/>
    <x v="4"/>
    <n v="64"/>
    <x v="0"/>
    <x v="2"/>
  </r>
  <r>
    <n v="383"/>
    <n v="629.30999999999995"/>
    <n v="12999"/>
    <s v="Los Angeles"/>
    <x v="4"/>
    <n v="58"/>
    <x v="0"/>
    <x v="1"/>
  </r>
  <r>
    <n v="382"/>
    <n v="697.04"/>
    <n v="76325"/>
    <s v="Houston"/>
    <x v="1"/>
    <n v="29"/>
    <x v="0"/>
    <x v="3"/>
  </r>
  <r>
    <n v="381"/>
    <m/>
    <n v="14153"/>
    <s v="Miami"/>
    <x v="2"/>
    <n v="66"/>
    <x v="0"/>
    <x v="2"/>
  </r>
  <r>
    <n v="380"/>
    <n v="282.57"/>
    <n v="77834"/>
    <s v="Miami"/>
    <x v="4"/>
    <n v="56"/>
    <x v="0"/>
    <x v="2"/>
  </r>
  <r>
    <n v="379"/>
    <n v="814.65"/>
    <n v="71315"/>
    <s v="Los Angeles"/>
    <x v="3"/>
    <n v="72"/>
    <x v="0"/>
    <x v="1"/>
  </r>
  <r>
    <n v="378"/>
    <n v="24.25"/>
    <n v="75683"/>
    <s v="Houston"/>
    <x v="1"/>
    <n v="47"/>
    <x v="0"/>
    <x v="3"/>
  </r>
  <r>
    <n v="377"/>
    <n v="845.03"/>
    <n v="39666"/>
    <s v="Los Angeles"/>
    <x v="2"/>
    <n v="49"/>
    <x v="0"/>
    <x v="1"/>
  </r>
  <r>
    <n v="376"/>
    <n v="319.66000000000003"/>
    <n v="16478"/>
    <s v="Miami"/>
    <x v="0"/>
    <n v="75"/>
    <x v="0"/>
    <x v="2"/>
  </r>
  <r>
    <n v="375"/>
    <n v="72.12"/>
    <n v="20609"/>
    <s v="Chicago"/>
    <x v="2"/>
    <n v="52"/>
    <x v="0"/>
    <x v="0"/>
  </r>
  <r>
    <n v="374"/>
    <n v="683.32"/>
    <n v="3756"/>
    <s v="Los Angeles"/>
    <x v="3"/>
    <n v="38"/>
    <x v="0"/>
    <x v="1"/>
  </r>
  <r>
    <n v="373"/>
    <n v="95.35"/>
    <n v="84291"/>
    <s v="Los Angeles"/>
    <x v="0"/>
    <n v="73"/>
    <x v="0"/>
    <x v="1"/>
  </r>
  <r>
    <n v="372"/>
    <n v="19.2"/>
    <n v="14382"/>
    <s v="Chicago"/>
    <x v="2"/>
    <m/>
    <x v="0"/>
    <x v="0"/>
  </r>
  <r>
    <n v="371"/>
    <n v="101.68"/>
    <n v="64772"/>
    <s v="New York"/>
    <x v="2"/>
    <n v="63"/>
    <x v="0"/>
    <x v="4"/>
  </r>
  <r>
    <n v="370"/>
    <n v="70.290000000000006"/>
    <n v="20103"/>
    <s v="Los Angeles"/>
    <x v="0"/>
    <n v="68"/>
    <x v="0"/>
    <x v="1"/>
  </r>
  <r>
    <n v="369"/>
    <n v="196.6"/>
    <n v="40631"/>
    <s v="Miami"/>
    <x v="2"/>
    <n v="49"/>
    <x v="0"/>
    <x v="2"/>
  </r>
  <r>
    <n v="368"/>
    <n v="905.45"/>
    <n v="64435"/>
    <s v="Chicago"/>
    <x v="0"/>
    <n v="61"/>
    <x v="0"/>
    <x v="0"/>
  </r>
  <r>
    <n v="367"/>
    <n v="961.23"/>
    <n v="71895"/>
    <s v="Miami"/>
    <x v="4"/>
    <n v="38"/>
    <x v="0"/>
    <x v="2"/>
  </r>
  <r>
    <n v="366"/>
    <n v="386.72"/>
    <n v="71907"/>
    <s v="Houston"/>
    <x v="3"/>
    <n v="37"/>
    <x v="0"/>
    <x v="3"/>
  </r>
  <r>
    <n v="365"/>
    <n v="941.52"/>
    <n v="29486"/>
    <s v="Chicago"/>
    <x v="3"/>
    <n v="47"/>
    <x v="0"/>
    <x v="0"/>
  </r>
  <r>
    <n v="364"/>
    <n v="546.07000000000005"/>
    <n v="23710"/>
    <s v="Houston"/>
    <x v="1"/>
    <n v="69"/>
    <x v="0"/>
    <x v="3"/>
  </r>
  <r>
    <n v="363"/>
    <n v="458.79"/>
    <n v="55180"/>
    <s v="Los Angeles"/>
    <x v="2"/>
    <n v="39"/>
    <x v="0"/>
    <x v="1"/>
  </r>
  <r>
    <n v="362"/>
    <m/>
    <n v="46197"/>
    <s v="Miami"/>
    <x v="3"/>
    <n v="67"/>
    <x v="1"/>
    <x v="2"/>
  </r>
  <r>
    <n v="361"/>
    <n v="388.78"/>
    <n v="43872"/>
    <s v="New York"/>
    <x v="4"/>
    <m/>
    <x v="0"/>
    <x v="4"/>
  </r>
  <r>
    <n v="360"/>
    <n v="9691.5786432565801"/>
    <n v="32265"/>
    <s v="Miami"/>
    <x v="0"/>
    <n v="75"/>
    <x v="0"/>
    <x v="2"/>
  </r>
  <r>
    <n v="359"/>
    <n v="940.29"/>
    <n v="59201"/>
    <s v="Chicago"/>
    <x v="4"/>
    <n v="5"/>
    <x v="0"/>
    <x v="0"/>
  </r>
  <r>
    <n v="358"/>
    <n v="586.19000000000005"/>
    <n v="19029"/>
    <s v="Miami"/>
    <x v="4"/>
    <n v="31"/>
    <x v="1"/>
    <x v="2"/>
  </r>
  <r>
    <n v="357"/>
    <n v="27.48"/>
    <n v="67779"/>
    <s v="New York"/>
    <x v="4"/>
    <n v="76"/>
    <x v="0"/>
    <x v="4"/>
  </r>
  <r>
    <n v="356"/>
    <m/>
    <n v="2336"/>
    <s v="Chicago"/>
    <x v="2"/>
    <n v="57"/>
    <x v="0"/>
    <x v="0"/>
  </r>
  <r>
    <n v="355"/>
    <n v="71.5"/>
    <n v="82870"/>
    <s v="Chicago"/>
    <x v="3"/>
    <n v="42"/>
    <x v="0"/>
    <x v="0"/>
  </r>
  <r>
    <n v="354"/>
    <n v="163.77000000000001"/>
    <n v="32154"/>
    <s v="New York"/>
    <x v="2"/>
    <n v="26"/>
    <x v="0"/>
    <x v="4"/>
  </r>
  <r>
    <n v="353"/>
    <m/>
    <n v="64484"/>
    <s v="Houston"/>
    <x v="0"/>
    <n v="72"/>
    <x v="0"/>
    <x v="3"/>
  </r>
  <r>
    <n v="352"/>
    <n v="856.63"/>
    <n v="44028"/>
    <s v="Chicago"/>
    <x v="3"/>
    <n v="35"/>
    <x v="0"/>
    <x v="0"/>
  </r>
  <r>
    <n v="351"/>
    <n v="503.63"/>
    <n v="66656"/>
    <s v="New York"/>
    <x v="2"/>
    <n v="57"/>
    <x v="0"/>
    <x v="4"/>
  </r>
  <r>
    <n v="350"/>
    <n v="626.23"/>
    <n v="10789"/>
    <s v="Miami"/>
    <x v="4"/>
    <n v="34"/>
    <x v="0"/>
    <x v="2"/>
  </r>
  <r>
    <n v="349"/>
    <n v="375.24"/>
    <n v="51356"/>
    <s v="Miami"/>
    <x v="1"/>
    <n v="32"/>
    <x v="0"/>
    <x v="2"/>
  </r>
  <r>
    <n v="348"/>
    <n v="46.26"/>
    <n v="922"/>
    <s v="Chicago"/>
    <x v="0"/>
    <n v="27"/>
    <x v="0"/>
    <x v="0"/>
  </r>
  <r>
    <n v="347"/>
    <n v="635.46"/>
    <n v="9446"/>
    <s v="Los Angeles"/>
    <x v="2"/>
    <n v="28"/>
    <x v="0"/>
    <x v="1"/>
  </r>
  <r>
    <n v="346"/>
    <n v="616.23"/>
    <n v="25053"/>
    <s v="Chicago"/>
    <x v="4"/>
    <n v="51"/>
    <x v="0"/>
    <x v="0"/>
  </r>
  <r>
    <n v="345"/>
    <n v="399.11"/>
    <n v="59379"/>
    <s v="Los Angeles"/>
    <x v="3"/>
    <n v="77"/>
    <x v="0"/>
    <x v="1"/>
  </r>
  <r>
    <n v="344"/>
    <n v="434.42"/>
    <n v="5408"/>
    <s v="Chicago"/>
    <x v="0"/>
    <n v="49"/>
    <x v="0"/>
    <x v="0"/>
  </r>
  <r>
    <n v="343"/>
    <n v="174.03"/>
    <n v="71324"/>
    <m/>
    <x v="2"/>
    <n v="49"/>
    <x v="0"/>
    <x v="2"/>
  </r>
  <r>
    <n v="342"/>
    <n v="474"/>
    <n v="80910"/>
    <s v="Miami"/>
    <x v="2"/>
    <n v="33"/>
    <x v="0"/>
    <x v="2"/>
  </r>
  <r>
    <n v="341"/>
    <n v="492.12"/>
    <n v="56819"/>
    <s v="Los Angeles"/>
    <x v="4"/>
    <n v="48"/>
    <x v="0"/>
    <x v="1"/>
  </r>
  <r>
    <n v="340"/>
    <n v="98.74"/>
    <n v="24519"/>
    <s v="New York"/>
    <x v="2"/>
    <n v="49"/>
    <x v="1"/>
    <x v="4"/>
  </r>
  <r>
    <n v="339"/>
    <n v="474.7"/>
    <n v="83122"/>
    <s v="Miami"/>
    <x v="1"/>
    <n v="70"/>
    <x v="0"/>
    <x v="2"/>
  </r>
  <r>
    <n v="338"/>
    <n v="703.95"/>
    <n v="54917"/>
    <s v="Miami"/>
    <x v="4"/>
    <n v="30"/>
    <x v="0"/>
    <x v="2"/>
  </r>
  <r>
    <n v="337"/>
    <n v="855.61"/>
    <n v="41157"/>
    <s v="Houston"/>
    <x v="3"/>
    <m/>
    <x v="0"/>
    <x v="3"/>
  </r>
  <r>
    <n v="336"/>
    <n v="41.69"/>
    <n v="67506"/>
    <s v="Miami"/>
    <x v="1"/>
    <n v="19"/>
    <x v="0"/>
    <x v="2"/>
  </r>
  <r>
    <n v="335"/>
    <n v="46.96"/>
    <n v="11302"/>
    <s v="Houston"/>
    <x v="4"/>
    <n v="57"/>
    <x v="0"/>
    <x v="3"/>
  </r>
  <r>
    <n v="334"/>
    <m/>
    <n v="4018"/>
    <m/>
    <x v="3"/>
    <n v="44"/>
    <x v="0"/>
    <x v="3"/>
  </r>
  <r>
    <n v="333"/>
    <m/>
    <n v="36455"/>
    <s v="Los Angeles"/>
    <x v="4"/>
    <m/>
    <x v="0"/>
    <x v="1"/>
  </r>
  <r>
    <n v="332"/>
    <n v="758.09"/>
    <n v="18381"/>
    <s v="Los Angeles"/>
    <x v="3"/>
    <n v="53"/>
    <x v="0"/>
    <x v="1"/>
  </r>
  <r>
    <n v="331"/>
    <n v="356.62"/>
    <n v="45558"/>
    <s v="Miami"/>
    <x v="2"/>
    <n v="38"/>
    <x v="0"/>
    <x v="2"/>
  </r>
  <r>
    <n v="330"/>
    <n v="248.48"/>
    <n v="11246"/>
    <s v="Chicago"/>
    <x v="1"/>
    <n v="27"/>
    <x v="0"/>
    <x v="0"/>
  </r>
  <r>
    <n v="329"/>
    <n v="420.18"/>
    <n v="34016"/>
    <s v="Houston"/>
    <x v="3"/>
    <n v="67"/>
    <x v="0"/>
    <x v="3"/>
  </r>
  <r>
    <n v="328"/>
    <n v="612.11"/>
    <n v="67728"/>
    <s v="Los Angeles"/>
    <x v="3"/>
    <n v="79"/>
    <x v="0"/>
    <x v="1"/>
  </r>
  <r>
    <n v="327"/>
    <n v="554.79999999999995"/>
    <n v="19096"/>
    <s v="Chicago"/>
    <x v="4"/>
    <n v="72"/>
    <x v="0"/>
    <x v="0"/>
  </r>
  <r>
    <n v="326"/>
    <n v="5516.3250443752404"/>
    <n v="9184"/>
    <s v="Chicago"/>
    <x v="1"/>
    <n v="75"/>
    <x v="0"/>
    <x v="0"/>
  </r>
  <r>
    <n v="325"/>
    <n v="954.91"/>
    <n v="18574"/>
    <s v="Miami"/>
    <x v="1"/>
    <n v="42"/>
    <x v="0"/>
    <x v="2"/>
  </r>
  <r>
    <n v="324"/>
    <n v="280.64999999999998"/>
    <n v="71520"/>
    <s v="New York"/>
    <x v="4"/>
    <n v="58"/>
    <x v="0"/>
    <x v="4"/>
  </r>
  <r>
    <n v="323"/>
    <n v="660.54"/>
    <n v="72101"/>
    <s v="New York"/>
    <x v="0"/>
    <n v="58"/>
    <x v="0"/>
    <x v="4"/>
  </r>
  <r>
    <n v="322"/>
    <n v="714.88"/>
    <n v="73340"/>
    <s v="Los Angeles"/>
    <x v="4"/>
    <n v="31"/>
    <x v="1"/>
    <x v="1"/>
  </r>
  <r>
    <n v="321"/>
    <n v="549.67999999999995"/>
    <n v="11954"/>
    <s v="Houston"/>
    <x v="3"/>
    <n v="21"/>
    <x v="0"/>
    <x v="3"/>
  </r>
  <r>
    <n v="320"/>
    <n v="250.99"/>
    <n v="39711"/>
    <s v="Los Angeles"/>
    <x v="1"/>
    <n v="79"/>
    <x v="0"/>
    <x v="1"/>
  </r>
  <r>
    <n v="319"/>
    <n v="157.28"/>
    <n v="29287"/>
    <s v="New York"/>
    <x v="3"/>
    <n v="53"/>
    <x v="0"/>
    <x v="4"/>
  </r>
  <r>
    <n v="318"/>
    <n v="174.12"/>
    <n v="75046"/>
    <s v="Chicago"/>
    <x v="3"/>
    <n v="66"/>
    <x v="0"/>
    <x v="0"/>
  </r>
  <r>
    <n v="317"/>
    <n v="409.54"/>
    <n v="59207"/>
    <s v="New York"/>
    <x v="1"/>
    <n v="20"/>
    <x v="0"/>
    <x v="4"/>
  </r>
  <r>
    <n v="316"/>
    <n v="696.28"/>
    <n v="43303"/>
    <s v="Miami"/>
    <x v="1"/>
    <n v="67"/>
    <x v="0"/>
    <x v="2"/>
  </r>
  <r>
    <n v="315"/>
    <n v="836.14"/>
    <n v="84056"/>
    <s v="Houston"/>
    <x v="4"/>
    <n v="32"/>
    <x v="0"/>
    <x v="3"/>
  </r>
  <r>
    <n v="314"/>
    <n v="962.69"/>
    <n v="82985"/>
    <s v="Chicago"/>
    <x v="2"/>
    <n v="19"/>
    <x v="0"/>
    <x v="0"/>
  </r>
  <r>
    <n v="313"/>
    <n v="26.33"/>
    <n v="14060"/>
    <s v="Chicago"/>
    <x v="1"/>
    <n v="26"/>
    <x v="0"/>
    <x v="0"/>
  </r>
  <r>
    <n v="312"/>
    <n v="79.38"/>
    <n v="16984"/>
    <s v="New York"/>
    <x v="4"/>
    <n v="42"/>
    <x v="0"/>
    <x v="4"/>
  </r>
  <r>
    <n v="311"/>
    <n v="439.53"/>
    <n v="20611"/>
    <s v="Chicago"/>
    <x v="4"/>
    <n v="57"/>
    <x v="0"/>
    <x v="0"/>
  </r>
  <r>
    <n v="310"/>
    <n v="271.56"/>
    <n v="77"/>
    <s v="Los Angeles"/>
    <x v="3"/>
    <n v="25"/>
    <x v="0"/>
    <x v="1"/>
  </r>
  <r>
    <n v="309"/>
    <n v="795.39"/>
    <n v="23930"/>
    <m/>
    <x v="2"/>
    <n v="48"/>
    <x v="0"/>
    <x v="2"/>
  </r>
  <r>
    <n v="308"/>
    <n v="323.63"/>
    <n v="19282"/>
    <s v="Houston"/>
    <x v="3"/>
    <n v="34"/>
    <x v="0"/>
    <x v="3"/>
  </r>
  <r>
    <n v="307"/>
    <n v="7974.2368975095396"/>
    <n v="15524"/>
    <s v="New York"/>
    <x v="4"/>
    <n v="45"/>
    <x v="0"/>
    <x v="4"/>
  </r>
  <r>
    <n v="306"/>
    <n v="975.88"/>
    <n v="30523"/>
    <s v="New York"/>
    <x v="0"/>
    <n v="65"/>
    <x v="0"/>
    <x v="4"/>
  </r>
  <r>
    <n v="305"/>
    <n v="726.37"/>
    <n v="58596"/>
    <s v="Miami"/>
    <x v="2"/>
    <n v="49"/>
    <x v="0"/>
    <x v="2"/>
  </r>
  <r>
    <n v="304"/>
    <n v="637.79"/>
    <n v="41832"/>
    <s v="Miami"/>
    <x v="3"/>
    <n v="64"/>
    <x v="0"/>
    <x v="2"/>
  </r>
  <r>
    <n v="303"/>
    <n v="541.09"/>
    <n v="8007"/>
    <s v="Chicago"/>
    <x v="3"/>
    <n v="55"/>
    <x v="0"/>
    <x v="0"/>
  </r>
  <r>
    <n v="302"/>
    <n v="531.82000000000005"/>
    <n v="5951"/>
    <s v="Chicago"/>
    <x v="4"/>
    <n v="27"/>
    <x v="0"/>
    <x v="0"/>
  </r>
  <r>
    <n v="301"/>
    <n v="52.63"/>
    <n v="43925"/>
    <s v="New York"/>
    <x v="2"/>
    <m/>
    <x v="0"/>
    <x v="4"/>
  </r>
  <r>
    <n v="300"/>
    <n v="86.26"/>
    <n v="36159"/>
    <m/>
    <x v="2"/>
    <n v="49"/>
    <x v="0"/>
    <x v="2"/>
  </r>
  <r>
    <n v="299"/>
    <n v="623.27"/>
    <n v="5415"/>
    <s v="Los Angeles"/>
    <x v="3"/>
    <n v="71"/>
    <x v="0"/>
    <x v="1"/>
  </r>
  <r>
    <n v="298"/>
    <n v="216.61"/>
    <n v="73698"/>
    <s v="Chicago"/>
    <x v="1"/>
    <n v="47"/>
    <x v="1"/>
    <x v="0"/>
  </r>
  <r>
    <n v="297"/>
    <n v="770.22"/>
    <n v="84555"/>
    <s v="Los Angeles"/>
    <x v="0"/>
    <n v="22"/>
    <x v="0"/>
    <x v="1"/>
  </r>
  <r>
    <n v="296"/>
    <n v="522.72"/>
    <n v="65441"/>
    <s v="Chicago"/>
    <x v="2"/>
    <n v="22"/>
    <x v="0"/>
    <x v="0"/>
  </r>
  <r>
    <n v="295"/>
    <n v="127.93"/>
    <n v="70792"/>
    <s v="Miami"/>
    <x v="2"/>
    <n v="75"/>
    <x v="0"/>
    <x v="2"/>
  </r>
  <r>
    <n v="294"/>
    <n v="360.83"/>
    <n v="8567"/>
    <s v="New York"/>
    <x v="1"/>
    <m/>
    <x v="1"/>
    <x v="4"/>
  </r>
  <r>
    <n v="293"/>
    <n v="822.78"/>
    <n v="67444"/>
    <s v="Los Angeles"/>
    <x v="1"/>
    <n v="68"/>
    <x v="0"/>
    <x v="1"/>
  </r>
  <r>
    <n v="292"/>
    <n v="38.31"/>
    <n v="42929"/>
    <s v="Houston"/>
    <x v="2"/>
    <n v="45"/>
    <x v="0"/>
    <x v="3"/>
  </r>
  <r>
    <n v="291"/>
    <n v="31.47"/>
    <n v="235"/>
    <s v="Chicago"/>
    <x v="4"/>
    <n v="68"/>
    <x v="1"/>
    <x v="0"/>
  </r>
  <r>
    <n v="290"/>
    <n v="591.24"/>
    <n v="12219"/>
    <s v="New York"/>
    <x v="1"/>
    <n v="24"/>
    <x v="0"/>
    <x v="4"/>
  </r>
  <r>
    <n v="289"/>
    <n v="287.25"/>
    <n v="83524"/>
    <s v="New York"/>
    <x v="0"/>
    <n v="36"/>
    <x v="0"/>
    <x v="4"/>
  </r>
  <r>
    <n v="288"/>
    <n v="543.1"/>
    <n v="42078"/>
    <s v="Miami"/>
    <x v="0"/>
    <n v="32"/>
    <x v="0"/>
    <x v="2"/>
  </r>
  <r>
    <n v="287"/>
    <n v="466.13"/>
    <n v="36258"/>
    <s v="Miami"/>
    <x v="0"/>
    <n v="69"/>
    <x v="0"/>
    <x v="2"/>
  </r>
  <r>
    <n v="286"/>
    <n v="36.909999999999997"/>
    <n v="26614"/>
    <s v="Chicago"/>
    <x v="0"/>
    <n v="28"/>
    <x v="0"/>
    <x v="0"/>
  </r>
  <r>
    <n v="285"/>
    <n v="578.70000000000005"/>
    <n v="79767"/>
    <s v="Los Angeles"/>
    <x v="3"/>
    <n v="53"/>
    <x v="0"/>
    <x v="1"/>
  </r>
  <r>
    <n v="284"/>
    <n v="94.89"/>
    <n v="19216"/>
    <m/>
    <x v="4"/>
    <n v="63"/>
    <x v="0"/>
    <x v="1"/>
  </r>
  <r>
    <n v="283"/>
    <n v="376.21"/>
    <n v="63076"/>
    <s v="New York"/>
    <x v="1"/>
    <n v="48"/>
    <x v="0"/>
    <x v="4"/>
  </r>
  <r>
    <n v="282"/>
    <n v="338.66"/>
    <n v="1342"/>
    <s v="Los Angeles"/>
    <x v="3"/>
    <n v="75"/>
    <x v="0"/>
    <x v="1"/>
  </r>
  <r>
    <n v="281"/>
    <n v="890.12"/>
    <n v="8512"/>
    <s v="New York"/>
    <x v="2"/>
    <n v="57"/>
    <x v="0"/>
    <x v="4"/>
  </r>
  <r>
    <n v="280"/>
    <n v="796"/>
    <n v="34387"/>
    <s v="Los Angeles"/>
    <x v="4"/>
    <n v="38"/>
    <x v="0"/>
    <x v="1"/>
  </r>
  <r>
    <n v="279"/>
    <n v="702.26"/>
    <n v="5287"/>
    <s v="Chicago"/>
    <x v="0"/>
    <m/>
    <x v="0"/>
    <x v="0"/>
  </r>
  <r>
    <n v="278"/>
    <n v="650.30999999999995"/>
    <n v="39809"/>
    <s v="Los Angeles"/>
    <x v="3"/>
    <n v="22"/>
    <x v="0"/>
    <x v="1"/>
  </r>
  <r>
    <n v="277"/>
    <n v="798.5"/>
    <n v="2219"/>
    <s v="Miami"/>
    <x v="0"/>
    <n v="34"/>
    <x v="0"/>
    <x v="2"/>
  </r>
  <r>
    <n v="276"/>
    <n v="502.01"/>
    <n v="9865"/>
    <s v="Chicago"/>
    <x v="0"/>
    <n v="41"/>
    <x v="0"/>
    <x v="0"/>
  </r>
  <r>
    <n v="275"/>
    <n v="511.83"/>
    <n v="82180"/>
    <s v="Miami"/>
    <x v="1"/>
    <n v="52"/>
    <x v="0"/>
    <x v="2"/>
  </r>
  <r>
    <n v="274"/>
    <n v="913.33"/>
    <n v="65545"/>
    <s v="Miami"/>
    <x v="3"/>
    <m/>
    <x v="0"/>
    <x v="2"/>
  </r>
  <r>
    <n v="273"/>
    <n v="867.21"/>
    <n v="59383"/>
    <s v="Houston"/>
    <x v="1"/>
    <n v="68"/>
    <x v="0"/>
    <x v="3"/>
  </r>
  <r>
    <n v="272"/>
    <m/>
    <n v="20128"/>
    <s v="Chicago"/>
    <x v="0"/>
    <n v="62"/>
    <x v="0"/>
    <x v="0"/>
  </r>
  <r>
    <n v="271"/>
    <n v="809.55"/>
    <n v="47362"/>
    <s v="Houston"/>
    <x v="3"/>
    <n v="18"/>
    <x v="0"/>
    <x v="3"/>
  </r>
  <r>
    <n v="270"/>
    <n v="294.3"/>
    <n v="32254"/>
    <s v="Houston"/>
    <x v="2"/>
    <n v="60"/>
    <x v="0"/>
    <x v="3"/>
  </r>
  <r>
    <n v="269"/>
    <n v="360.13"/>
    <n v="20618"/>
    <s v="New York"/>
    <x v="2"/>
    <n v="40"/>
    <x v="0"/>
    <x v="4"/>
  </r>
  <r>
    <n v="268"/>
    <n v="702.78"/>
    <n v="1917"/>
    <s v="Los Angeles"/>
    <x v="1"/>
    <m/>
    <x v="0"/>
    <x v="1"/>
  </r>
  <r>
    <n v="267"/>
    <n v="697.32"/>
    <n v="1828"/>
    <s v="Miami"/>
    <x v="4"/>
    <n v="25"/>
    <x v="0"/>
    <x v="2"/>
  </r>
  <r>
    <n v="266"/>
    <n v="741.03"/>
    <n v="42533"/>
    <s v="Chicago"/>
    <x v="3"/>
    <n v="30"/>
    <x v="0"/>
    <x v="0"/>
  </r>
  <r>
    <n v="265"/>
    <n v="877.5"/>
    <n v="78477"/>
    <s v="Houston"/>
    <x v="2"/>
    <n v="25"/>
    <x v="0"/>
    <x v="3"/>
  </r>
  <r>
    <n v="264"/>
    <n v="518.80999999999995"/>
    <n v="67584"/>
    <s v="Chicago"/>
    <x v="4"/>
    <n v="54"/>
    <x v="0"/>
    <x v="0"/>
  </r>
  <r>
    <n v="263"/>
    <n v="140.94"/>
    <n v="36976"/>
    <s v="Miami"/>
    <x v="1"/>
    <n v="40"/>
    <x v="0"/>
    <x v="2"/>
  </r>
  <r>
    <n v="262"/>
    <n v="990.06"/>
    <n v="45587"/>
    <s v="Miami"/>
    <x v="0"/>
    <n v="18"/>
    <x v="0"/>
    <x v="2"/>
  </r>
  <r>
    <n v="261"/>
    <n v="5162.2172302359304"/>
    <n v="49376"/>
    <s v="Miami"/>
    <x v="3"/>
    <n v="61"/>
    <x v="0"/>
    <x v="2"/>
  </r>
  <r>
    <n v="260"/>
    <n v="98.08"/>
    <n v="58067"/>
    <s v="Los Angeles"/>
    <x v="3"/>
    <n v="49"/>
    <x v="1"/>
    <x v="1"/>
  </r>
  <r>
    <n v="259"/>
    <n v="570.49"/>
    <n v="64323"/>
    <s v="Chicago"/>
    <x v="0"/>
    <n v="22"/>
    <x v="0"/>
    <x v="0"/>
  </r>
  <r>
    <n v="258"/>
    <n v="696.33"/>
    <n v="42101"/>
    <s v="Houston"/>
    <x v="3"/>
    <n v="36"/>
    <x v="0"/>
    <x v="3"/>
  </r>
  <r>
    <n v="257"/>
    <n v="936.22"/>
    <n v="30105"/>
    <s v="Houston"/>
    <x v="0"/>
    <n v="62"/>
    <x v="0"/>
    <x v="3"/>
  </r>
  <r>
    <n v="256"/>
    <n v="557.24"/>
    <n v="6469"/>
    <s v="New York"/>
    <x v="0"/>
    <n v="41"/>
    <x v="0"/>
    <x v="4"/>
  </r>
  <r>
    <n v="255"/>
    <n v="170.32"/>
    <n v="46514"/>
    <s v="New York"/>
    <x v="0"/>
    <n v="40"/>
    <x v="0"/>
    <x v="4"/>
  </r>
  <r>
    <n v="254"/>
    <n v="5862.61938473181"/>
    <n v="79239"/>
    <s v="New York"/>
    <x v="0"/>
    <n v="77"/>
    <x v="0"/>
    <x v="4"/>
  </r>
  <r>
    <n v="253"/>
    <n v="851.29"/>
    <n v="10954"/>
    <s v="Miami"/>
    <x v="2"/>
    <n v="34"/>
    <x v="0"/>
    <x v="2"/>
  </r>
  <r>
    <n v="252"/>
    <n v="385.71"/>
    <n v="846"/>
    <s v="New York"/>
    <x v="2"/>
    <n v="32"/>
    <x v="0"/>
    <x v="4"/>
  </r>
  <r>
    <n v="251"/>
    <n v="295.14999999999998"/>
    <n v="53441"/>
    <s v="New York"/>
    <x v="4"/>
    <n v="66"/>
    <x v="0"/>
    <x v="4"/>
  </r>
  <r>
    <n v="250"/>
    <n v="853.16"/>
    <n v="13234"/>
    <s v="Miami"/>
    <x v="2"/>
    <n v="25"/>
    <x v="0"/>
    <x v="2"/>
  </r>
  <r>
    <n v="249"/>
    <n v="963.66"/>
    <n v="84471"/>
    <s v="Los Angeles"/>
    <x v="0"/>
    <m/>
    <x v="0"/>
    <x v="1"/>
  </r>
  <r>
    <n v="248"/>
    <n v="966.69"/>
    <n v="117"/>
    <s v="Houston"/>
    <x v="3"/>
    <n v="76"/>
    <x v="0"/>
    <x v="3"/>
  </r>
  <r>
    <n v="247"/>
    <n v="428.76"/>
    <n v="28746"/>
    <s v="Los Angeles"/>
    <x v="3"/>
    <n v="25"/>
    <x v="0"/>
    <x v="1"/>
  </r>
  <r>
    <n v="246"/>
    <n v="928.39"/>
    <n v="79579"/>
    <s v="Miami"/>
    <x v="1"/>
    <n v="51"/>
    <x v="0"/>
    <x v="2"/>
  </r>
  <r>
    <n v="245"/>
    <n v="16.440000000000001"/>
    <n v="41427"/>
    <s v="Chicago"/>
    <x v="0"/>
    <n v="72"/>
    <x v="0"/>
    <x v="0"/>
  </r>
  <r>
    <n v="244"/>
    <n v="370.79"/>
    <n v="16389"/>
    <s v="New York"/>
    <x v="0"/>
    <n v="28"/>
    <x v="0"/>
    <x v="4"/>
  </r>
  <r>
    <n v="243"/>
    <n v="914.95"/>
    <n v="38110"/>
    <s v="New York"/>
    <x v="4"/>
    <n v="45"/>
    <x v="0"/>
    <x v="4"/>
  </r>
  <r>
    <n v="242"/>
    <n v="953.97"/>
    <n v="9111"/>
    <s v="Miami"/>
    <x v="0"/>
    <n v="38"/>
    <x v="0"/>
    <x v="2"/>
  </r>
  <r>
    <n v="241"/>
    <n v="940.52"/>
    <n v="76323"/>
    <s v="Houston"/>
    <x v="1"/>
    <n v="57"/>
    <x v="0"/>
    <x v="3"/>
  </r>
  <r>
    <n v="240"/>
    <n v="177.93"/>
    <n v="4324"/>
    <s v="New York"/>
    <x v="4"/>
    <m/>
    <x v="0"/>
    <x v="4"/>
  </r>
  <r>
    <n v="239"/>
    <n v="645.83000000000004"/>
    <n v="24818"/>
    <s v="Los Angeles"/>
    <x v="0"/>
    <n v="75"/>
    <x v="0"/>
    <x v="1"/>
  </r>
  <r>
    <n v="238"/>
    <n v="25.29"/>
    <n v="13046"/>
    <s v="New York"/>
    <x v="2"/>
    <n v="120"/>
    <x v="0"/>
    <x v="4"/>
  </r>
  <r>
    <n v="237"/>
    <n v="281.49"/>
    <n v="27446"/>
    <s v="Houston"/>
    <x v="0"/>
    <n v="27"/>
    <x v="0"/>
    <x v="3"/>
  </r>
  <r>
    <n v="236"/>
    <n v="722.73"/>
    <n v="85655"/>
    <s v="New York"/>
    <x v="2"/>
    <n v="50"/>
    <x v="0"/>
    <x v="4"/>
  </r>
  <r>
    <n v="235"/>
    <n v="196.05"/>
    <n v="13918"/>
    <s v="Houston"/>
    <x v="2"/>
    <n v="46"/>
    <x v="0"/>
    <x v="3"/>
  </r>
  <r>
    <n v="234"/>
    <n v="493.03"/>
    <n v="76125"/>
    <s v="Miami"/>
    <x v="2"/>
    <n v="65"/>
    <x v="0"/>
    <x v="2"/>
  </r>
  <r>
    <n v="233"/>
    <n v="577.33000000000004"/>
    <n v="56138"/>
    <s v="Miami"/>
    <x v="1"/>
    <n v="77"/>
    <x v="0"/>
    <x v="2"/>
  </r>
  <r>
    <n v="232"/>
    <n v="503.13"/>
    <n v="77149"/>
    <m/>
    <x v="2"/>
    <n v="19"/>
    <x v="0"/>
    <x v="2"/>
  </r>
  <r>
    <n v="231"/>
    <n v="795.02"/>
    <n v="27139"/>
    <s v="Miami"/>
    <x v="0"/>
    <n v="18"/>
    <x v="0"/>
    <x v="2"/>
  </r>
  <r>
    <n v="230"/>
    <n v="631.51"/>
    <n v="72303"/>
    <s v="Houston"/>
    <x v="2"/>
    <n v="58"/>
    <x v="0"/>
    <x v="3"/>
  </r>
  <r>
    <n v="229"/>
    <n v="892.15"/>
    <n v="71158"/>
    <s v="Chicago"/>
    <x v="3"/>
    <n v="26"/>
    <x v="1"/>
    <x v="0"/>
  </r>
  <r>
    <n v="228"/>
    <n v="393.7"/>
    <n v="1605"/>
    <s v="Chicago"/>
    <x v="3"/>
    <n v="73"/>
    <x v="0"/>
    <x v="0"/>
  </r>
  <r>
    <n v="227"/>
    <n v="973.04"/>
    <n v="27285"/>
    <s v="Los Angeles"/>
    <x v="0"/>
    <n v="34"/>
    <x v="0"/>
    <x v="1"/>
  </r>
  <r>
    <n v="226"/>
    <n v="244.75"/>
    <n v="58656"/>
    <s v="Miami"/>
    <x v="3"/>
    <n v="58"/>
    <x v="0"/>
    <x v="2"/>
  </r>
  <r>
    <n v="225"/>
    <n v="265.94"/>
    <n v="28024"/>
    <s v="Miami"/>
    <x v="2"/>
    <n v="66"/>
    <x v="0"/>
    <x v="2"/>
  </r>
  <r>
    <n v="224"/>
    <n v="368.35"/>
    <n v="3812"/>
    <s v="Chicago"/>
    <x v="4"/>
    <n v="30"/>
    <x v="0"/>
    <x v="0"/>
  </r>
  <r>
    <n v="223"/>
    <n v="94.58"/>
    <n v="17260"/>
    <s v="Los Angeles"/>
    <x v="2"/>
    <n v="59"/>
    <x v="1"/>
    <x v="1"/>
  </r>
  <r>
    <n v="222"/>
    <n v="568.74"/>
    <n v="76090"/>
    <s v="Los Angeles"/>
    <x v="2"/>
    <n v="38"/>
    <x v="0"/>
    <x v="1"/>
  </r>
  <r>
    <n v="221"/>
    <n v="657.96"/>
    <n v="75703"/>
    <s v="Chicago"/>
    <x v="4"/>
    <n v="59"/>
    <x v="0"/>
    <x v="0"/>
  </r>
  <r>
    <n v="220"/>
    <m/>
    <n v="34529"/>
    <s v="Los Angeles"/>
    <x v="3"/>
    <n v="55"/>
    <x v="0"/>
    <x v="1"/>
  </r>
  <r>
    <n v="219"/>
    <n v="649.98"/>
    <n v="48447"/>
    <m/>
    <x v="4"/>
    <m/>
    <x v="0"/>
    <x v="1"/>
  </r>
  <r>
    <n v="218"/>
    <n v="746.74"/>
    <n v="54553"/>
    <s v="Los Angeles"/>
    <x v="4"/>
    <n v="69"/>
    <x v="0"/>
    <x v="1"/>
  </r>
  <r>
    <n v="217"/>
    <n v="326.07"/>
    <n v="84659"/>
    <s v="Miami"/>
    <x v="2"/>
    <n v="46"/>
    <x v="0"/>
    <x v="2"/>
  </r>
  <r>
    <n v="216"/>
    <n v="238.01"/>
    <n v="62981"/>
    <s v="New York"/>
    <x v="1"/>
    <n v="58"/>
    <x v="0"/>
    <x v="4"/>
  </r>
  <r>
    <n v="215"/>
    <n v="712.47"/>
    <n v="60004"/>
    <s v="Los Angeles"/>
    <x v="0"/>
    <n v="52"/>
    <x v="0"/>
    <x v="1"/>
  </r>
  <r>
    <n v="214"/>
    <n v="225.05"/>
    <n v="81449"/>
    <s v="Miami"/>
    <x v="3"/>
    <n v="57"/>
    <x v="1"/>
    <x v="2"/>
  </r>
  <r>
    <n v="213"/>
    <n v="652.30999999999995"/>
    <n v="72274"/>
    <s v="New York"/>
    <x v="2"/>
    <n v="35"/>
    <x v="1"/>
    <x v="4"/>
  </r>
  <r>
    <n v="212"/>
    <n v="692.2"/>
    <n v="23275"/>
    <s v="Miami"/>
    <x v="0"/>
    <n v="77"/>
    <x v="0"/>
    <x v="2"/>
  </r>
  <r>
    <n v="211"/>
    <m/>
    <n v="81264"/>
    <s v="Houston"/>
    <x v="2"/>
    <n v="65"/>
    <x v="0"/>
    <x v="3"/>
  </r>
  <r>
    <n v="210"/>
    <n v="161.65"/>
    <n v="77735"/>
    <s v="New York"/>
    <x v="1"/>
    <m/>
    <x v="0"/>
    <x v="4"/>
  </r>
  <r>
    <n v="209"/>
    <n v="6.06"/>
    <n v="73479"/>
    <s v="Houston"/>
    <x v="1"/>
    <n v="51"/>
    <x v="0"/>
    <x v="3"/>
  </r>
  <r>
    <n v="208"/>
    <n v="663.84"/>
    <n v="12910"/>
    <m/>
    <x v="2"/>
    <n v="21"/>
    <x v="1"/>
    <x v="4"/>
  </r>
  <r>
    <n v="207"/>
    <m/>
    <n v="79905"/>
    <s v="Chicago"/>
    <x v="3"/>
    <n v="5"/>
    <x v="0"/>
    <x v="0"/>
  </r>
  <r>
    <n v="206"/>
    <n v="10.19"/>
    <n v="26069"/>
    <s v="Miami"/>
    <x v="4"/>
    <n v="43"/>
    <x v="0"/>
    <x v="2"/>
  </r>
  <r>
    <n v="205"/>
    <n v="606.82000000000005"/>
    <n v="6371"/>
    <s v="Chicago"/>
    <x v="2"/>
    <n v="70"/>
    <x v="0"/>
    <x v="0"/>
  </r>
  <r>
    <n v="204"/>
    <n v="898.66"/>
    <n v="26734"/>
    <s v="Los Angeles"/>
    <x v="4"/>
    <n v="72"/>
    <x v="0"/>
    <x v="1"/>
  </r>
  <r>
    <n v="203"/>
    <n v="162.47"/>
    <n v="82152"/>
    <s v="Miami"/>
    <x v="1"/>
    <n v="120"/>
    <x v="1"/>
    <x v="2"/>
  </r>
  <r>
    <n v="202"/>
    <n v="85.06"/>
    <n v="73794"/>
    <s v="Houston"/>
    <x v="0"/>
    <n v="38"/>
    <x v="0"/>
    <x v="3"/>
  </r>
  <r>
    <n v="201"/>
    <n v="642.39"/>
    <n v="7561"/>
    <s v="Houston"/>
    <x v="0"/>
    <n v="28"/>
    <x v="0"/>
    <x v="3"/>
  </r>
  <r>
    <n v="200"/>
    <n v="780.1"/>
    <n v="6168"/>
    <s v="Chicago"/>
    <x v="3"/>
    <n v="77"/>
    <x v="0"/>
    <x v="0"/>
  </r>
  <r>
    <n v="199"/>
    <n v="887.2"/>
    <n v="3596"/>
    <s v="New York"/>
    <x v="1"/>
    <n v="66"/>
    <x v="0"/>
    <x v="4"/>
  </r>
  <r>
    <n v="198"/>
    <n v="897.21"/>
    <n v="4632"/>
    <s v="Los Angeles"/>
    <x v="3"/>
    <n v="52"/>
    <x v="0"/>
    <x v="1"/>
  </r>
  <r>
    <n v="197"/>
    <n v="726.23"/>
    <n v="47915"/>
    <s v="Chicago"/>
    <x v="3"/>
    <n v="34"/>
    <x v="0"/>
    <x v="0"/>
  </r>
  <r>
    <n v="196"/>
    <n v="349.86"/>
    <n v="56793"/>
    <s v="Los Angeles"/>
    <x v="1"/>
    <n v="53"/>
    <x v="0"/>
    <x v="1"/>
  </r>
  <r>
    <n v="195"/>
    <m/>
    <n v="6229"/>
    <s v="Chicago"/>
    <x v="0"/>
    <n v="49"/>
    <x v="0"/>
    <x v="0"/>
  </r>
  <r>
    <n v="194"/>
    <n v="633.47"/>
    <n v="50448"/>
    <s v="Houston"/>
    <x v="3"/>
    <n v="62"/>
    <x v="0"/>
    <x v="3"/>
  </r>
  <r>
    <n v="193"/>
    <n v="900.52"/>
    <n v="1062"/>
    <s v="Los Angeles"/>
    <x v="2"/>
    <n v="54"/>
    <x v="0"/>
    <x v="1"/>
  </r>
  <r>
    <n v="192"/>
    <n v="897.32"/>
    <n v="10267"/>
    <s v="Miami"/>
    <x v="4"/>
    <m/>
    <x v="0"/>
    <x v="2"/>
  </r>
  <r>
    <n v="191"/>
    <n v="94.01"/>
    <n v="38518"/>
    <s v="Chicago"/>
    <x v="3"/>
    <m/>
    <x v="0"/>
    <x v="0"/>
  </r>
  <r>
    <n v="190"/>
    <n v="242.61"/>
    <n v="73688"/>
    <s v="Los Angeles"/>
    <x v="0"/>
    <n v="38"/>
    <x v="0"/>
    <x v="1"/>
  </r>
  <r>
    <n v="189"/>
    <n v="530.12"/>
    <n v="46271"/>
    <s v="Chicago"/>
    <x v="2"/>
    <n v="62"/>
    <x v="0"/>
    <x v="0"/>
  </r>
  <r>
    <n v="188"/>
    <n v="555.65"/>
    <n v="35854"/>
    <s v="New York"/>
    <x v="2"/>
    <n v="67"/>
    <x v="0"/>
    <x v="4"/>
  </r>
  <r>
    <n v="187"/>
    <n v="817.4"/>
    <n v="34674"/>
    <s v="Miami"/>
    <x v="4"/>
    <n v="43"/>
    <x v="0"/>
    <x v="2"/>
  </r>
  <r>
    <n v="186"/>
    <n v="660.32"/>
    <n v="67067"/>
    <s v="Los Angeles"/>
    <x v="3"/>
    <n v="38"/>
    <x v="0"/>
    <x v="1"/>
  </r>
  <r>
    <n v="185"/>
    <n v="258.68"/>
    <n v="38638"/>
    <s v="Miami"/>
    <x v="1"/>
    <n v="30"/>
    <x v="0"/>
    <x v="2"/>
  </r>
  <r>
    <n v="184"/>
    <n v="877.46"/>
    <n v="55658"/>
    <s v="Los Angeles"/>
    <x v="4"/>
    <n v="18"/>
    <x v="0"/>
    <x v="1"/>
  </r>
  <r>
    <n v="183"/>
    <n v="924.77"/>
    <n v="84717"/>
    <m/>
    <x v="4"/>
    <n v="22"/>
    <x v="0"/>
    <x v="1"/>
  </r>
  <r>
    <n v="182"/>
    <m/>
    <n v="82838"/>
    <s v="Los Angeles"/>
    <x v="4"/>
    <n v="56"/>
    <x v="0"/>
    <x v="1"/>
  </r>
  <r>
    <n v="181"/>
    <n v="341.73"/>
    <n v="18030"/>
    <s v="Los Angeles"/>
    <x v="0"/>
    <n v="73"/>
    <x v="0"/>
    <x v="1"/>
  </r>
  <r>
    <n v="180"/>
    <n v="138.38"/>
    <n v="5122"/>
    <s v="Miami"/>
    <x v="0"/>
    <n v="75"/>
    <x v="0"/>
    <x v="2"/>
  </r>
  <r>
    <n v="179"/>
    <n v="936.79"/>
    <n v="5126"/>
    <s v="New York"/>
    <x v="3"/>
    <n v="40"/>
    <x v="0"/>
    <x v="4"/>
  </r>
  <r>
    <n v="178"/>
    <n v="387.35"/>
    <n v="15034"/>
    <s v="Los Angeles"/>
    <x v="4"/>
    <n v="27"/>
    <x v="0"/>
    <x v="1"/>
  </r>
  <r>
    <n v="177"/>
    <n v="691.25"/>
    <n v="4621"/>
    <s v="Chicago"/>
    <x v="3"/>
    <n v="38"/>
    <x v="0"/>
    <x v="0"/>
  </r>
  <r>
    <n v="176"/>
    <n v="175.19"/>
    <n v="16748"/>
    <m/>
    <x v="3"/>
    <n v="32"/>
    <x v="0"/>
    <x v="3"/>
  </r>
  <r>
    <n v="175"/>
    <n v="645.53"/>
    <n v="44247"/>
    <s v="New York"/>
    <x v="1"/>
    <n v="55"/>
    <x v="0"/>
    <x v="4"/>
  </r>
  <r>
    <n v="174"/>
    <n v="227.27"/>
    <n v="67661"/>
    <s v="Los Angeles"/>
    <x v="0"/>
    <n v="71"/>
    <x v="0"/>
    <x v="1"/>
  </r>
  <r>
    <n v="173"/>
    <n v="512.58000000000004"/>
    <n v="73686"/>
    <s v="New York"/>
    <x v="4"/>
    <n v="38"/>
    <x v="0"/>
    <x v="4"/>
  </r>
  <r>
    <n v="172"/>
    <n v="17.57"/>
    <n v="28699"/>
    <s v="Miami"/>
    <x v="4"/>
    <n v="44"/>
    <x v="0"/>
    <x v="2"/>
  </r>
  <r>
    <n v="171"/>
    <n v="677.89"/>
    <n v="8717"/>
    <s v="New York"/>
    <x v="0"/>
    <n v="79"/>
    <x v="0"/>
    <x v="4"/>
  </r>
  <r>
    <n v="170"/>
    <n v="591.29999999999995"/>
    <n v="55"/>
    <s v="Miami"/>
    <x v="0"/>
    <n v="19"/>
    <x v="0"/>
    <x v="2"/>
  </r>
  <r>
    <n v="169"/>
    <n v="41.73"/>
    <n v="82558"/>
    <s v="Chicago"/>
    <x v="4"/>
    <n v="72"/>
    <x v="0"/>
    <x v="0"/>
  </r>
  <r>
    <n v="168"/>
    <n v="187.33"/>
    <n v="302"/>
    <s v="Houston"/>
    <x v="1"/>
    <n v="79"/>
    <x v="0"/>
    <x v="3"/>
  </r>
  <r>
    <n v="167"/>
    <n v="321.45999999999998"/>
    <n v="50428"/>
    <s v="New York"/>
    <x v="4"/>
    <n v="22"/>
    <x v="0"/>
    <x v="4"/>
  </r>
  <r>
    <n v="166"/>
    <n v="835.47"/>
    <n v="79714"/>
    <s v="New York"/>
    <x v="3"/>
    <n v="39"/>
    <x v="0"/>
    <x v="4"/>
  </r>
  <r>
    <n v="165"/>
    <n v="91.2"/>
    <n v="59399"/>
    <s v="Los Angeles"/>
    <x v="0"/>
    <n v="78"/>
    <x v="0"/>
    <x v="1"/>
  </r>
  <r>
    <n v="164"/>
    <n v="536.24"/>
    <n v="79104"/>
    <s v="New York"/>
    <x v="0"/>
    <n v="54"/>
    <x v="0"/>
    <x v="4"/>
  </r>
  <r>
    <n v="163"/>
    <n v="633.9"/>
    <n v="64291"/>
    <s v="Miami"/>
    <x v="4"/>
    <n v="24"/>
    <x v="0"/>
    <x v="2"/>
  </r>
  <r>
    <n v="162"/>
    <n v="632.66999999999996"/>
    <n v="4432"/>
    <s v="New York"/>
    <x v="2"/>
    <n v="31"/>
    <x v="0"/>
    <x v="4"/>
  </r>
  <r>
    <n v="161"/>
    <n v="368.42"/>
    <n v="52796"/>
    <s v="Chicago"/>
    <x v="3"/>
    <n v="39"/>
    <x v="0"/>
    <x v="0"/>
  </r>
  <r>
    <n v="160"/>
    <n v="728.49"/>
    <n v="19262"/>
    <s v="Chicago"/>
    <x v="2"/>
    <n v="45"/>
    <x v="0"/>
    <x v="0"/>
  </r>
  <r>
    <n v="159"/>
    <n v="238.4"/>
    <n v="55645"/>
    <s v="Houston"/>
    <x v="1"/>
    <n v="44"/>
    <x v="0"/>
    <x v="3"/>
  </r>
  <r>
    <n v="158"/>
    <n v="761.86"/>
    <n v="10478"/>
    <s v="Miami"/>
    <x v="2"/>
    <n v="24"/>
    <x v="0"/>
    <x v="2"/>
  </r>
  <r>
    <n v="157"/>
    <n v="672.46"/>
    <n v="43221"/>
    <s v="Chicago"/>
    <x v="1"/>
    <n v="52"/>
    <x v="0"/>
    <x v="0"/>
  </r>
  <r>
    <n v="156"/>
    <n v="242.81"/>
    <n v="5240"/>
    <s v="Houston"/>
    <x v="3"/>
    <n v="78"/>
    <x v="0"/>
    <x v="3"/>
  </r>
  <r>
    <n v="155"/>
    <n v="985.66"/>
    <n v="22574"/>
    <s v="Los Angeles"/>
    <x v="4"/>
    <n v="79"/>
    <x v="0"/>
    <x v="1"/>
  </r>
  <r>
    <n v="154"/>
    <n v="489.96"/>
    <n v="10488"/>
    <s v="Chicago"/>
    <x v="4"/>
    <n v="69"/>
    <x v="0"/>
    <x v="0"/>
  </r>
  <r>
    <n v="153"/>
    <m/>
    <n v="23321"/>
    <s v="Houston"/>
    <x v="0"/>
    <n v="54"/>
    <x v="0"/>
    <x v="3"/>
  </r>
  <r>
    <n v="152"/>
    <n v="240.32"/>
    <n v="23624"/>
    <s v="Houston"/>
    <x v="3"/>
    <n v="67"/>
    <x v="0"/>
    <x v="3"/>
  </r>
  <r>
    <n v="151"/>
    <n v="908.36"/>
    <n v="81818"/>
    <s v="Miami"/>
    <x v="3"/>
    <n v="56"/>
    <x v="0"/>
    <x v="2"/>
  </r>
  <r>
    <n v="150"/>
    <n v="279.37"/>
    <n v="51745"/>
    <s v="Los Angeles"/>
    <x v="1"/>
    <n v="55"/>
    <x v="0"/>
    <x v="1"/>
  </r>
  <r>
    <n v="149"/>
    <n v="52.43"/>
    <n v="18777"/>
    <s v="Chicago"/>
    <x v="2"/>
    <n v="77"/>
    <x v="1"/>
    <x v="0"/>
  </r>
  <r>
    <n v="148"/>
    <n v="503.18"/>
    <n v="16907"/>
    <s v="Chicago"/>
    <x v="4"/>
    <n v="53"/>
    <x v="0"/>
    <x v="0"/>
  </r>
  <r>
    <n v="147"/>
    <n v="609.95000000000005"/>
    <n v="39749"/>
    <s v="New York"/>
    <x v="0"/>
    <n v="69"/>
    <x v="0"/>
    <x v="4"/>
  </r>
  <r>
    <n v="146"/>
    <n v="37.85"/>
    <n v="79252"/>
    <s v="Los Angeles"/>
    <x v="0"/>
    <n v="46"/>
    <x v="0"/>
    <x v="1"/>
  </r>
  <r>
    <n v="145"/>
    <n v="285.56"/>
    <n v="23061"/>
    <s v="Chicago"/>
    <x v="1"/>
    <n v="69"/>
    <x v="0"/>
    <x v="0"/>
  </r>
  <r>
    <n v="144"/>
    <n v="301.58"/>
    <n v="36668"/>
    <s v="Miami"/>
    <x v="0"/>
    <n v="77"/>
    <x v="0"/>
    <x v="2"/>
  </r>
  <r>
    <n v="143"/>
    <n v="497.75"/>
    <n v="57108"/>
    <m/>
    <x v="2"/>
    <n v="56"/>
    <x v="0"/>
    <x v="2"/>
  </r>
  <r>
    <n v="142"/>
    <n v="252.53"/>
    <n v="23954"/>
    <m/>
    <x v="4"/>
    <n v="54"/>
    <x v="0"/>
    <x v="1"/>
  </r>
  <r>
    <n v="141"/>
    <n v="962.48"/>
    <n v="11314"/>
    <s v="New York"/>
    <x v="0"/>
    <n v="34"/>
    <x v="0"/>
    <x v="4"/>
  </r>
  <r>
    <n v="140"/>
    <n v="971.81"/>
    <n v="28732"/>
    <s v="New York"/>
    <x v="3"/>
    <n v="57"/>
    <x v="0"/>
    <x v="4"/>
  </r>
  <r>
    <n v="139"/>
    <n v="364.27"/>
    <n v="75697"/>
    <s v="New York"/>
    <x v="4"/>
    <n v="56"/>
    <x v="0"/>
    <x v="4"/>
  </r>
  <r>
    <n v="138"/>
    <n v="703.32"/>
    <n v="69724"/>
    <s v="Miami"/>
    <x v="0"/>
    <n v="21"/>
    <x v="0"/>
    <x v="2"/>
  </r>
  <r>
    <n v="137"/>
    <n v="519.27"/>
    <n v="33434"/>
    <s v="Los Angeles"/>
    <x v="3"/>
    <n v="21"/>
    <x v="0"/>
    <x v="1"/>
  </r>
  <r>
    <n v="136"/>
    <n v="323.88"/>
    <n v="83807"/>
    <s v="Los Angeles"/>
    <x v="3"/>
    <n v="50"/>
    <x v="0"/>
    <x v="1"/>
  </r>
  <r>
    <n v="135"/>
    <n v="942.97"/>
    <n v="41240"/>
    <s v="New York"/>
    <x v="3"/>
    <n v="77"/>
    <x v="0"/>
    <x v="4"/>
  </r>
  <r>
    <n v="134"/>
    <n v="338.28"/>
    <n v="58243"/>
    <s v="Los Angeles"/>
    <x v="2"/>
    <n v="33"/>
    <x v="0"/>
    <x v="1"/>
  </r>
  <r>
    <n v="133"/>
    <n v="120.75"/>
    <n v="24071"/>
    <s v="Chicago"/>
    <x v="4"/>
    <n v="33"/>
    <x v="0"/>
    <x v="0"/>
  </r>
  <r>
    <n v="132"/>
    <n v="222.89"/>
    <n v="22415"/>
    <s v="Miami"/>
    <x v="2"/>
    <n v="24"/>
    <x v="0"/>
    <x v="2"/>
  </r>
  <r>
    <n v="131"/>
    <n v="417.99"/>
    <n v="11637"/>
    <s v="Chicago"/>
    <x v="4"/>
    <n v="68"/>
    <x v="0"/>
    <x v="0"/>
  </r>
  <r>
    <n v="130"/>
    <n v="511.24"/>
    <n v="6090"/>
    <m/>
    <x v="2"/>
    <n v="63"/>
    <x v="0"/>
    <x v="2"/>
  </r>
  <r>
    <n v="129"/>
    <m/>
    <n v="71774"/>
    <s v="Chicago"/>
    <x v="1"/>
    <n v="79"/>
    <x v="0"/>
    <x v="0"/>
  </r>
  <r>
    <n v="128"/>
    <n v="860.87"/>
    <n v="80719"/>
    <s v="Houston"/>
    <x v="0"/>
    <n v="45"/>
    <x v="1"/>
    <x v="3"/>
  </r>
  <r>
    <n v="127"/>
    <n v="818.2"/>
    <n v="24214"/>
    <s v="Chicago"/>
    <x v="3"/>
    <n v="26"/>
    <x v="0"/>
    <x v="0"/>
  </r>
  <r>
    <n v="126"/>
    <n v="427.68"/>
    <n v="17144"/>
    <s v="Chicago"/>
    <x v="2"/>
    <n v="38"/>
    <x v="0"/>
    <x v="0"/>
  </r>
  <r>
    <n v="125"/>
    <n v="228.71"/>
    <n v="6254"/>
    <s v="Houston"/>
    <x v="3"/>
    <n v="52"/>
    <x v="0"/>
    <x v="3"/>
  </r>
  <r>
    <n v="124"/>
    <n v="8694.3333856651607"/>
    <n v="45002"/>
    <s v="Houston"/>
    <x v="1"/>
    <n v="26"/>
    <x v="0"/>
    <x v="3"/>
  </r>
  <r>
    <n v="123"/>
    <n v="318.69"/>
    <n v="12015"/>
    <s v="Los Angeles"/>
    <x v="4"/>
    <n v="36"/>
    <x v="0"/>
    <x v="1"/>
  </r>
  <r>
    <n v="122"/>
    <n v="896.2"/>
    <n v="36586"/>
    <s v="New York"/>
    <x v="3"/>
    <n v="40"/>
    <x v="0"/>
    <x v="4"/>
  </r>
  <r>
    <n v="121"/>
    <n v="7839.8714865804004"/>
    <n v="69836"/>
    <s v="Miami"/>
    <x v="2"/>
    <n v="26"/>
    <x v="0"/>
    <x v="2"/>
  </r>
  <r>
    <n v="120"/>
    <n v="539.79999999999995"/>
    <n v="5569"/>
    <s v="Los Angeles"/>
    <x v="1"/>
    <n v="32"/>
    <x v="1"/>
    <x v="1"/>
  </r>
  <r>
    <n v="119"/>
    <n v="892.67"/>
    <n v="14388"/>
    <s v="Chicago"/>
    <x v="1"/>
    <n v="73"/>
    <x v="0"/>
    <x v="0"/>
  </r>
  <r>
    <n v="118"/>
    <n v="187.38"/>
    <n v="73477"/>
    <s v="Chicago"/>
    <x v="2"/>
    <n v="48"/>
    <x v="0"/>
    <x v="0"/>
  </r>
  <r>
    <n v="117"/>
    <n v="803.87"/>
    <n v="55123"/>
    <s v="New York"/>
    <x v="4"/>
    <n v="78"/>
    <x v="0"/>
    <x v="4"/>
  </r>
  <r>
    <n v="116"/>
    <n v="871.59"/>
    <n v="19963"/>
    <s v="Houston"/>
    <x v="2"/>
    <n v="67"/>
    <x v="0"/>
    <x v="3"/>
  </r>
  <r>
    <n v="115"/>
    <m/>
    <n v="85392"/>
    <s v="Chicago"/>
    <x v="2"/>
    <n v="28"/>
    <x v="0"/>
    <x v="0"/>
  </r>
  <r>
    <n v="114"/>
    <n v="808.31"/>
    <n v="55479"/>
    <s v="Chicago"/>
    <x v="4"/>
    <n v="79"/>
    <x v="0"/>
    <x v="0"/>
  </r>
  <r>
    <n v="113"/>
    <n v="929.77"/>
    <n v="39811"/>
    <s v="Miami"/>
    <x v="2"/>
    <n v="19"/>
    <x v="1"/>
    <x v="2"/>
  </r>
  <r>
    <n v="112"/>
    <n v="162.06"/>
    <n v="43088"/>
    <s v="Miami"/>
    <x v="3"/>
    <n v="42"/>
    <x v="0"/>
    <x v="2"/>
  </r>
  <r>
    <n v="111"/>
    <n v="290.45999999999998"/>
    <n v="52329"/>
    <s v="Los Angeles"/>
    <x v="2"/>
    <n v="27"/>
    <x v="0"/>
    <x v="1"/>
  </r>
  <r>
    <n v="110"/>
    <n v="77.900000000000006"/>
    <n v="70390"/>
    <s v="Chicago"/>
    <x v="4"/>
    <n v="51"/>
    <x v="0"/>
    <x v="0"/>
  </r>
  <r>
    <n v="109"/>
    <n v="229.57"/>
    <n v="70173"/>
    <s v="Houston"/>
    <x v="0"/>
    <n v="36"/>
    <x v="0"/>
    <x v="3"/>
  </r>
  <r>
    <n v="108"/>
    <n v="755.8"/>
    <n v="42318"/>
    <s v="Miami"/>
    <x v="1"/>
    <n v="22"/>
    <x v="0"/>
    <x v="2"/>
  </r>
  <r>
    <n v="107"/>
    <n v="410.97"/>
    <n v="56800"/>
    <s v="Chicago"/>
    <x v="0"/>
    <n v="68"/>
    <x v="0"/>
    <x v="0"/>
  </r>
  <r>
    <n v="106"/>
    <n v="250.04"/>
    <n v="53413"/>
    <s v="New York"/>
    <x v="2"/>
    <n v="48"/>
    <x v="0"/>
    <x v="4"/>
  </r>
  <r>
    <n v="105"/>
    <n v="907.66"/>
    <n v="83251"/>
    <s v="Chicago"/>
    <x v="4"/>
    <n v="36"/>
    <x v="0"/>
    <x v="0"/>
  </r>
  <r>
    <n v="104"/>
    <n v="509.06"/>
    <n v="75745"/>
    <s v="Houston"/>
    <x v="4"/>
    <n v="40"/>
    <x v="0"/>
    <x v="3"/>
  </r>
  <r>
    <n v="103"/>
    <n v="315.04000000000002"/>
    <n v="61886"/>
    <s v="Los Angeles"/>
    <x v="4"/>
    <n v="77"/>
    <x v="0"/>
    <x v="1"/>
  </r>
  <r>
    <n v="102"/>
    <n v="636.77"/>
    <n v="23386"/>
    <s v="Los Angeles"/>
    <x v="4"/>
    <n v="19"/>
    <x v="0"/>
    <x v="1"/>
  </r>
  <r>
    <n v="101"/>
    <n v="32.4"/>
    <n v="25934"/>
    <s v="Houston"/>
    <x v="4"/>
    <n v="79"/>
    <x v="0"/>
    <x v="3"/>
  </r>
  <r>
    <n v="100"/>
    <n v="108.78"/>
    <n v="6941"/>
    <s v="Miami"/>
    <x v="3"/>
    <n v="60"/>
    <x v="0"/>
    <x v="2"/>
  </r>
  <r>
    <n v="99"/>
    <n v="26.39"/>
    <n v="73553"/>
    <s v="Los Angeles"/>
    <x v="4"/>
    <n v="46"/>
    <x v="0"/>
    <x v="1"/>
  </r>
  <r>
    <n v="98"/>
    <n v="428.11"/>
    <n v="55393"/>
    <m/>
    <x v="3"/>
    <n v="49"/>
    <x v="0"/>
    <x v="3"/>
  </r>
  <r>
    <n v="97"/>
    <n v="523.21"/>
    <n v="6949"/>
    <s v="Miami"/>
    <x v="2"/>
    <n v="23"/>
    <x v="0"/>
    <x v="2"/>
  </r>
  <r>
    <n v="96"/>
    <n v="494.3"/>
    <n v="78587"/>
    <s v="Los Angeles"/>
    <x v="3"/>
    <n v="77"/>
    <x v="0"/>
    <x v="1"/>
  </r>
  <r>
    <n v="95"/>
    <m/>
    <n v="65215"/>
    <s v="Miami"/>
    <x v="0"/>
    <n v="46"/>
    <x v="0"/>
    <x v="2"/>
  </r>
  <r>
    <n v="94"/>
    <n v="561.72"/>
    <n v="81317"/>
    <s v="New York"/>
    <x v="4"/>
    <n v="35"/>
    <x v="0"/>
    <x v="4"/>
  </r>
  <r>
    <n v="93"/>
    <n v="761.02"/>
    <n v="59494"/>
    <s v="Miami"/>
    <x v="0"/>
    <n v="37"/>
    <x v="0"/>
    <x v="2"/>
  </r>
  <r>
    <n v="92"/>
    <n v="713.53"/>
    <n v="53682"/>
    <m/>
    <x v="3"/>
    <n v="31"/>
    <x v="0"/>
    <x v="3"/>
  </r>
  <r>
    <n v="91"/>
    <n v="120.47"/>
    <n v="37441"/>
    <s v="Los Angeles"/>
    <x v="3"/>
    <n v="48"/>
    <x v="0"/>
    <x v="1"/>
  </r>
  <r>
    <n v="90"/>
    <n v="472.74"/>
    <n v="77709"/>
    <s v="Chicago"/>
    <x v="1"/>
    <n v="30"/>
    <x v="0"/>
    <x v="0"/>
  </r>
  <r>
    <n v="89"/>
    <m/>
    <n v="39764"/>
    <s v="New York"/>
    <x v="1"/>
    <m/>
    <x v="1"/>
    <x v="4"/>
  </r>
  <r>
    <n v="88"/>
    <n v="637.91999999999996"/>
    <n v="1252"/>
    <s v="Chicago"/>
    <x v="2"/>
    <n v="49"/>
    <x v="0"/>
    <x v="0"/>
  </r>
  <r>
    <n v="87"/>
    <n v="729.88"/>
    <n v="44238"/>
    <s v="Miami"/>
    <x v="4"/>
    <n v="49"/>
    <x v="0"/>
    <x v="2"/>
  </r>
  <r>
    <n v="86"/>
    <n v="325.86"/>
    <n v="15254"/>
    <s v="Los Angeles"/>
    <x v="1"/>
    <n v="29"/>
    <x v="0"/>
    <x v="1"/>
  </r>
  <r>
    <n v="85"/>
    <n v="311.67"/>
    <n v="19758"/>
    <s v="Miami"/>
    <x v="1"/>
    <n v="77"/>
    <x v="0"/>
    <x v="2"/>
  </r>
  <r>
    <n v="84"/>
    <n v="64.489999999999995"/>
    <n v="19198"/>
    <s v="Houston"/>
    <x v="0"/>
    <n v="62"/>
    <x v="0"/>
    <x v="3"/>
  </r>
  <r>
    <n v="83"/>
    <n v="331.57"/>
    <n v="53871"/>
    <s v="Los Angeles"/>
    <x v="3"/>
    <n v="21"/>
    <x v="0"/>
    <x v="1"/>
  </r>
  <r>
    <n v="82"/>
    <n v="623.66999999999996"/>
    <n v="42808"/>
    <s v="New York"/>
    <x v="1"/>
    <n v="32"/>
    <x v="0"/>
    <x v="4"/>
  </r>
  <r>
    <n v="81"/>
    <n v="863.24"/>
    <n v="37626"/>
    <s v="Miami"/>
    <x v="2"/>
    <n v="42"/>
    <x v="0"/>
    <x v="2"/>
  </r>
  <r>
    <n v="80"/>
    <n v="116.75"/>
    <n v="24285"/>
    <s v="New York"/>
    <x v="2"/>
    <n v="21"/>
    <x v="0"/>
    <x v="4"/>
  </r>
  <r>
    <n v="79"/>
    <n v="359.11"/>
    <n v="73963"/>
    <s v="Los Angeles"/>
    <x v="4"/>
    <n v="51"/>
    <x v="0"/>
    <x v="1"/>
  </r>
  <r>
    <n v="78"/>
    <n v="74.97"/>
    <n v="42944"/>
    <s v="New York"/>
    <x v="1"/>
    <m/>
    <x v="0"/>
    <x v="4"/>
  </r>
  <r>
    <n v="77"/>
    <n v="771.5"/>
    <n v="37131"/>
    <m/>
    <x v="3"/>
    <n v="25"/>
    <x v="0"/>
    <x v="3"/>
  </r>
  <r>
    <n v="76"/>
    <n v="729.28"/>
    <n v="32049"/>
    <s v="Los Angeles"/>
    <x v="3"/>
    <n v="51"/>
    <x v="0"/>
    <x v="1"/>
  </r>
  <r>
    <n v="75"/>
    <n v="707.15"/>
    <n v="49922"/>
    <s v="Miami"/>
    <x v="3"/>
    <n v="70"/>
    <x v="0"/>
    <x v="2"/>
  </r>
  <r>
    <n v="74"/>
    <n v="815.65"/>
    <n v="43125"/>
    <s v="Los Angeles"/>
    <x v="4"/>
    <n v="30"/>
    <x v="0"/>
    <x v="1"/>
  </r>
  <r>
    <n v="73"/>
    <n v="6.52"/>
    <n v="61877"/>
    <s v="Chicago"/>
    <x v="1"/>
    <n v="42"/>
    <x v="0"/>
    <x v="0"/>
  </r>
  <r>
    <n v="72"/>
    <n v="199.52"/>
    <n v="58017"/>
    <s v="Miami"/>
    <x v="2"/>
    <n v="23"/>
    <x v="0"/>
    <x v="2"/>
  </r>
  <r>
    <n v="71"/>
    <m/>
    <n v="14489"/>
    <m/>
    <x v="1"/>
    <n v="58"/>
    <x v="0"/>
    <x v="0"/>
  </r>
  <r>
    <n v="70"/>
    <n v="986.9"/>
    <n v="7239"/>
    <s v="Miami"/>
    <x v="3"/>
    <n v="52"/>
    <x v="0"/>
    <x v="2"/>
  </r>
  <r>
    <n v="69"/>
    <n v="75.48"/>
    <n v="36187"/>
    <s v="Miami"/>
    <x v="0"/>
    <n v="20"/>
    <x v="0"/>
    <x v="2"/>
  </r>
  <r>
    <n v="68"/>
    <n v="802.39"/>
    <n v="45543"/>
    <s v="Los Angeles"/>
    <x v="3"/>
    <n v="69"/>
    <x v="0"/>
    <x v="1"/>
  </r>
  <r>
    <n v="67"/>
    <n v="141.78"/>
    <n v="37744"/>
    <s v="Los Angeles"/>
    <x v="4"/>
    <n v="78"/>
    <x v="0"/>
    <x v="1"/>
  </r>
  <r>
    <n v="66"/>
    <n v="543.15"/>
    <n v="70080"/>
    <s v="Houston"/>
    <x v="4"/>
    <n v="63"/>
    <x v="0"/>
    <x v="3"/>
  </r>
  <r>
    <n v="65"/>
    <n v="281.64999999999998"/>
    <n v="21949"/>
    <s v="Chicago"/>
    <x v="2"/>
    <n v="71"/>
    <x v="0"/>
    <x v="0"/>
  </r>
  <r>
    <n v="64"/>
    <n v="357.4"/>
    <n v="57091"/>
    <s v="New York"/>
    <x v="1"/>
    <n v="33"/>
    <x v="0"/>
    <x v="4"/>
  </r>
  <r>
    <n v="63"/>
    <n v="828.91"/>
    <n v="17100"/>
    <s v="New York"/>
    <x v="2"/>
    <n v="63"/>
    <x v="0"/>
    <x v="4"/>
  </r>
  <r>
    <n v="62"/>
    <n v="272.08"/>
    <n v="53932"/>
    <s v="Miami"/>
    <x v="4"/>
    <n v="18"/>
    <x v="0"/>
    <x v="2"/>
  </r>
  <r>
    <n v="61"/>
    <n v="389.29"/>
    <n v="45106"/>
    <s v="Los Angeles"/>
    <x v="0"/>
    <n v="31"/>
    <x v="0"/>
    <x v="1"/>
  </r>
  <r>
    <n v="60"/>
    <n v="326.01"/>
    <n v="34816"/>
    <s v="New York"/>
    <x v="1"/>
    <n v="48"/>
    <x v="0"/>
    <x v="4"/>
  </r>
  <r>
    <n v="59"/>
    <n v="46.18"/>
    <n v="38765"/>
    <s v="New York"/>
    <x v="2"/>
    <n v="53"/>
    <x v="0"/>
    <x v="4"/>
  </r>
  <r>
    <n v="58"/>
    <n v="196.79"/>
    <n v="56397"/>
    <s v="Chicago"/>
    <x v="2"/>
    <n v="50"/>
    <x v="0"/>
    <x v="0"/>
  </r>
  <r>
    <n v="57"/>
    <n v="89.4"/>
    <n v="13456"/>
    <s v="Los Angeles"/>
    <x v="4"/>
    <n v="71"/>
    <x v="0"/>
    <x v="1"/>
  </r>
  <r>
    <n v="56"/>
    <n v="921.95"/>
    <n v="53330"/>
    <s v="New York"/>
    <x v="4"/>
    <n v="78"/>
    <x v="0"/>
    <x v="4"/>
  </r>
  <r>
    <n v="55"/>
    <n v="598.29999999999995"/>
    <n v="32201"/>
    <s v="Chicago"/>
    <x v="1"/>
    <n v="42"/>
    <x v="0"/>
    <x v="0"/>
  </r>
  <r>
    <n v="54"/>
    <n v="894.93"/>
    <n v="4809"/>
    <s v="Los Angeles"/>
    <x v="1"/>
    <n v="19"/>
    <x v="0"/>
    <x v="1"/>
  </r>
  <r>
    <n v="53"/>
    <n v="939.56"/>
    <n v="10916"/>
    <s v="New York"/>
    <x v="4"/>
    <n v="42"/>
    <x v="1"/>
    <x v="4"/>
  </r>
  <r>
    <n v="52"/>
    <n v="775.36"/>
    <n v="69172"/>
    <s v="Houston"/>
    <x v="4"/>
    <n v="27"/>
    <x v="0"/>
    <x v="3"/>
  </r>
  <r>
    <n v="51"/>
    <n v="969.62"/>
    <n v="23524"/>
    <s v="Los Angeles"/>
    <x v="2"/>
    <n v="35"/>
    <x v="0"/>
    <x v="1"/>
  </r>
  <r>
    <n v="50"/>
    <n v="185.67"/>
    <n v="23574"/>
    <s v="Houston"/>
    <x v="4"/>
    <n v="37"/>
    <x v="1"/>
    <x v="3"/>
  </r>
  <r>
    <n v="49"/>
    <n v="547.16"/>
    <n v="50612"/>
    <s v="Chicago"/>
    <x v="2"/>
    <n v="31"/>
    <x v="0"/>
    <x v="0"/>
  </r>
  <r>
    <n v="48"/>
    <n v="520.54999999999995"/>
    <n v="80642"/>
    <s v="Houston"/>
    <x v="0"/>
    <n v="35"/>
    <x v="0"/>
    <x v="3"/>
  </r>
  <r>
    <n v="47"/>
    <n v="312.39999999999998"/>
    <n v="9860"/>
    <s v="Miami"/>
    <x v="0"/>
    <n v="52"/>
    <x v="1"/>
    <x v="2"/>
  </r>
  <r>
    <n v="46"/>
    <n v="662.86"/>
    <n v="60100"/>
    <s v="Los Angeles"/>
    <x v="0"/>
    <n v="19"/>
    <x v="0"/>
    <x v="1"/>
  </r>
  <r>
    <n v="45"/>
    <n v="259.52"/>
    <n v="18384"/>
    <s v="New York"/>
    <x v="1"/>
    <n v="44"/>
    <x v="0"/>
    <x v="4"/>
  </r>
  <r>
    <n v="44"/>
    <n v="909.41"/>
    <n v="12763"/>
    <s v="Miami"/>
    <x v="1"/>
    <n v="19"/>
    <x v="0"/>
    <x v="2"/>
  </r>
  <r>
    <n v="43"/>
    <n v="35.35"/>
    <n v="29189"/>
    <s v="Miami"/>
    <x v="3"/>
    <n v="52"/>
    <x v="0"/>
    <x v="2"/>
  </r>
  <r>
    <n v="42"/>
    <n v="495.68"/>
    <n v="47926"/>
    <m/>
    <x v="1"/>
    <m/>
    <x v="0"/>
    <x v="0"/>
  </r>
  <r>
    <n v="41"/>
    <n v="122.92"/>
    <n v="40943"/>
    <s v="Houston"/>
    <x v="0"/>
    <n v="32"/>
    <x v="0"/>
    <x v="3"/>
  </r>
  <r>
    <n v="40"/>
    <n v="440.71"/>
    <n v="404"/>
    <s v="Chicago"/>
    <x v="4"/>
    <n v="26"/>
    <x v="0"/>
    <x v="0"/>
  </r>
  <r>
    <n v="39"/>
    <m/>
    <n v="384"/>
    <s v="Los Angeles"/>
    <x v="2"/>
    <n v="31"/>
    <x v="0"/>
    <x v="1"/>
  </r>
  <r>
    <n v="38"/>
    <n v="98.57"/>
    <n v="8702"/>
    <s v="Los Angeles"/>
    <x v="2"/>
    <n v="69"/>
    <x v="0"/>
    <x v="1"/>
  </r>
  <r>
    <n v="37"/>
    <n v="305.31"/>
    <n v="75880"/>
    <m/>
    <x v="2"/>
    <n v="24"/>
    <x v="0"/>
    <x v="2"/>
  </r>
  <r>
    <n v="36"/>
    <n v="808.59"/>
    <n v="18017"/>
    <s v="Houston"/>
    <x v="2"/>
    <n v="33"/>
    <x v="0"/>
    <x v="3"/>
  </r>
  <r>
    <n v="35"/>
    <n v="965.67"/>
    <n v="20384"/>
    <s v="Miami"/>
    <x v="2"/>
    <n v="20"/>
    <x v="0"/>
    <x v="2"/>
  </r>
  <r>
    <n v="34"/>
    <n v="948.94"/>
    <n v="46540"/>
    <s v="New York"/>
    <x v="2"/>
    <m/>
    <x v="0"/>
    <x v="4"/>
  </r>
  <r>
    <n v="33"/>
    <n v="65.989999999999995"/>
    <n v="72474"/>
    <s v="Los Angeles"/>
    <x v="2"/>
    <n v="31"/>
    <x v="0"/>
    <x v="1"/>
  </r>
  <r>
    <n v="32"/>
    <n v="171.35"/>
    <n v="6970"/>
    <s v="Los Angeles"/>
    <x v="4"/>
    <n v="47"/>
    <x v="0"/>
    <x v="1"/>
  </r>
  <r>
    <n v="31"/>
    <n v="607.94000000000005"/>
    <n v="20309"/>
    <s v="Houston"/>
    <x v="3"/>
    <n v="59"/>
    <x v="0"/>
    <x v="3"/>
  </r>
  <r>
    <n v="30"/>
    <n v="47.4"/>
    <n v="62680"/>
    <s v="Miami"/>
    <x v="0"/>
    <n v="41"/>
    <x v="0"/>
    <x v="2"/>
  </r>
  <r>
    <n v="29"/>
    <n v="592.82000000000005"/>
    <n v="4158"/>
    <s v="Houston"/>
    <x v="3"/>
    <n v="47"/>
    <x v="0"/>
    <x v="3"/>
  </r>
  <r>
    <n v="28"/>
    <n v="514.72"/>
    <n v="23833"/>
    <s v="Chicago"/>
    <x v="0"/>
    <n v="52"/>
    <x v="1"/>
    <x v="0"/>
  </r>
  <r>
    <n v="27"/>
    <n v="200.47"/>
    <n v="62292"/>
    <s v="Miami"/>
    <x v="0"/>
    <n v="62"/>
    <x v="0"/>
    <x v="2"/>
  </r>
  <r>
    <n v="26"/>
    <n v="785.39"/>
    <n v="8415"/>
    <s v="Chicago"/>
    <x v="0"/>
    <n v="35"/>
    <x v="0"/>
    <x v="0"/>
  </r>
  <r>
    <n v="25"/>
    <n v="456.61"/>
    <n v="27712"/>
    <s v="Miami"/>
    <x v="2"/>
    <n v="55"/>
    <x v="0"/>
    <x v="2"/>
  </r>
  <r>
    <n v="24"/>
    <n v="367"/>
    <n v="61813"/>
    <s v="New York"/>
    <x v="0"/>
    <m/>
    <x v="0"/>
    <x v="4"/>
  </r>
  <r>
    <n v="23"/>
    <n v="292.85000000000002"/>
    <n v="1015"/>
    <m/>
    <x v="4"/>
    <n v="66"/>
    <x v="0"/>
    <x v="1"/>
  </r>
  <r>
    <n v="22"/>
    <n v="140.35"/>
    <n v="37892"/>
    <s v="Los Angeles"/>
    <x v="2"/>
    <n v="64"/>
    <x v="0"/>
    <x v="1"/>
  </r>
  <r>
    <n v="21"/>
    <n v="612.24"/>
    <n v="56570"/>
    <m/>
    <x v="2"/>
    <n v="29"/>
    <x v="0"/>
    <x v="2"/>
  </r>
  <r>
    <n v="20"/>
    <n v="291.94"/>
    <n v="23793"/>
    <s v="Miami"/>
    <x v="0"/>
    <n v="59"/>
    <x v="0"/>
    <x v="2"/>
  </r>
  <r>
    <n v="19"/>
    <n v="7661.4593797572697"/>
    <n v="58141"/>
    <s v="Houston"/>
    <x v="4"/>
    <n v="69"/>
    <x v="0"/>
    <x v="3"/>
  </r>
  <r>
    <n v="18"/>
    <n v="525.23"/>
    <n v="84791"/>
    <m/>
    <x v="4"/>
    <n v="54"/>
    <x v="0"/>
    <x v="1"/>
  </r>
  <r>
    <n v="17"/>
    <n v="304.94"/>
    <n v="65545"/>
    <s v="Chicago"/>
    <x v="0"/>
    <n v="77"/>
    <x v="0"/>
    <x v="0"/>
  </r>
  <r>
    <n v="16"/>
    <n v="184.22"/>
    <n v="75672"/>
    <s v="Chicago"/>
    <x v="4"/>
    <n v="39"/>
    <x v="0"/>
    <x v="0"/>
  </r>
  <r>
    <n v="15"/>
    <n v="182.64"/>
    <n v="50990"/>
    <s v="Los Angeles"/>
    <x v="0"/>
    <n v="32"/>
    <x v="0"/>
    <x v="1"/>
  </r>
  <r>
    <n v="14"/>
    <n v="213.13"/>
    <n v="70340"/>
    <s v="Houston"/>
    <x v="0"/>
    <m/>
    <x v="0"/>
    <x v="3"/>
  </r>
  <r>
    <n v="13"/>
    <n v="832.61"/>
    <n v="49407"/>
    <s v="New York"/>
    <x v="1"/>
    <n v="39"/>
    <x v="0"/>
    <x v="4"/>
  </r>
  <r>
    <n v="12"/>
    <n v="969.94"/>
    <n v="56178"/>
    <s v="Chicago"/>
    <x v="1"/>
    <n v="52"/>
    <x v="0"/>
    <x v="0"/>
  </r>
  <r>
    <n v="11"/>
    <n v="21.56"/>
    <n v="5713"/>
    <s v="Chicago"/>
    <x v="0"/>
    <n v="23"/>
    <x v="0"/>
    <x v="0"/>
  </r>
  <r>
    <n v="10"/>
    <n v="708.36"/>
    <n v="45445"/>
    <s v="Miami"/>
    <x v="4"/>
    <n v="72"/>
    <x v="0"/>
    <x v="2"/>
  </r>
  <r>
    <n v="9"/>
    <n v="601.51"/>
    <n v="34349"/>
    <s v="New York"/>
    <x v="0"/>
    <n v="35"/>
    <x v="0"/>
    <x v="4"/>
  </r>
  <r>
    <n v="8"/>
    <n v="866.31"/>
    <n v="27532"/>
    <s v="Miami"/>
    <x v="0"/>
    <n v="21"/>
    <x v="0"/>
    <x v="2"/>
  </r>
  <r>
    <n v="7"/>
    <n v="59.03"/>
    <n v="82844"/>
    <s v="Chicago"/>
    <x v="3"/>
    <n v="43"/>
    <x v="0"/>
    <x v="0"/>
  </r>
  <r>
    <n v="6"/>
    <n v="156.84"/>
    <n v="35547"/>
    <s v="Chicago"/>
    <x v="1"/>
    <n v="40"/>
    <x v="0"/>
    <x v="0"/>
  </r>
  <r>
    <n v="5"/>
    <n v="156.86000000000001"/>
    <n v="57043"/>
    <s v="New York"/>
    <x v="2"/>
    <n v="79"/>
    <x v="0"/>
    <x v="4"/>
  </r>
  <r>
    <n v="4"/>
    <n v="599.05999999999995"/>
    <n v="55284"/>
    <s v="New York"/>
    <x v="2"/>
    <n v="69"/>
    <x v="0"/>
    <x v="4"/>
  </r>
  <r>
    <n v="3"/>
    <n v="732.26"/>
    <n v="78752"/>
    <s v="Miami"/>
    <x v="3"/>
    <n v="20"/>
    <x v="0"/>
    <x v="2"/>
  </r>
  <r>
    <n v="2"/>
    <n v="950.76"/>
    <n v="38088"/>
    <s v="Los Angeles"/>
    <x v="0"/>
    <n v="28"/>
    <x v="0"/>
    <x v="1"/>
  </r>
  <r>
    <n v="1"/>
    <n v="375.17"/>
    <n v="47605"/>
    <s v="Houston"/>
    <x v="3"/>
    <n v="18"/>
    <x v="0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500"/>
    <n v="986.22"/>
    <n v="81974"/>
    <s v="Chicago"/>
    <x v="0"/>
    <n v="37"/>
    <x v="0"/>
    <x v="0"/>
    <n v="986.22"/>
  </r>
  <r>
    <n v="499"/>
    <n v="974.42"/>
    <n v="52603"/>
    <s v="Los Angeles"/>
    <x v="0"/>
    <n v="21"/>
    <x v="1"/>
    <x v="1"/>
    <n v="974.42"/>
  </r>
  <r>
    <n v="498"/>
    <n v="78.66"/>
    <n v="75629"/>
    <s v="Miami"/>
    <x v="1"/>
    <n v="78"/>
    <x v="0"/>
    <x v="2"/>
    <n v="78.66"/>
  </r>
  <r>
    <n v="497"/>
    <n v="584.07000000000005"/>
    <n v="78623"/>
    <s v="Miami"/>
    <x v="2"/>
    <n v="64"/>
    <x v="1"/>
    <x v="2"/>
    <n v="584.07000000000005"/>
  </r>
  <r>
    <n v="496"/>
    <n v="354"/>
    <n v="48770"/>
    <s v="Houston"/>
    <x v="3"/>
    <n v="21"/>
    <x v="0"/>
    <x v="3"/>
    <n v="354"/>
  </r>
  <r>
    <n v="495"/>
    <n v="464.23"/>
    <n v="40806"/>
    <s v="New York"/>
    <x v="0"/>
    <n v="75"/>
    <x v="0"/>
    <x v="4"/>
    <n v="464.23"/>
  </r>
  <r>
    <n v="494"/>
    <n v="188.93"/>
    <n v="12342"/>
    <s v="New York"/>
    <x v="2"/>
    <n v="54"/>
    <x v="0"/>
    <x v="4"/>
    <n v="188.93"/>
  </r>
  <r>
    <n v="493"/>
    <n v="278.10000000000002"/>
    <n v="52487"/>
    <s v="Houston"/>
    <x v="3"/>
    <n v="36"/>
    <x v="0"/>
    <x v="3"/>
    <n v="278.10000000000002"/>
  </r>
  <r>
    <n v="492"/>
    <n v="620.51"/>
    <n v="55168"/>
    <s v="Houston"/>
    <x v="2"/>
    <n v="73"/>
    <x v="0"/>
    <x v="3"/>
    <n v="620.51"/>
  </r>
  <r>
    <n v="491"/>
    <n v="456.2"/>
    <n v="65155"/>
    <s v="Houston"/>
    <x v="0"/>
    <n v="23"/>
    <x v="0"/>
    <x v="3"/>
    <n v="456.2"/>
  </r>
  <r>
    <n v="490"/>
    <n v="890.37"/>
    <n v="25522"/>
    <s v="New York"/>
    <x v="4"/>
    <m/>
    <x v="0"/>
    <x v="4"/>
    <n v="890.37"/>
  </r>
  <r>
    <n v="489"/>
    <n v="950.46"/>
    <n v="38565"/>
    <s v="New York"/>
    <x v="3"/>
    <n v="48"/>
    <x v="0"/>
    <x v="4"/>
    <n v="950.46"/>
  </r>
  <r>
    <n v="488"/>
    <n v="281.68"/>
    <n v="11485"/>
    <s v="Houston"/>
    <x v="2"/>
    <n v="68"/>
    <x v="0"/>
    <x v="3"/>
    <n v="281.68"/>
  </r>
  <r>
    <n v="487"/>
    <n v="46.4"/>
    <n v="26737"/>
    <s v="Chicago"/>
    <x v="4"/>
    <n v="33"/>
    <x v="0"/>
    <x v="0"/>
    <n v="46.4"/>
  </r>
  <r>
    <n v="486"/>
    <n v="901.26"/>
    <n v="38000"/>
    <s v="Los Angeles"/>
    <x v="4"/>
    <n v="28"/>
    <x v="0"/>
    <x v="1"/>
    <n v="901.26"/>
  </r>
  <r>
    <n v="485"/>
    <m/>
    <n v="6645"/>
    <s v="Houston"/>
    <x v="3"/>
    <n v="37"/>
    <x v="0"/>
    <x v="3"/>
    <n v="471.92071428571433"/>
  </r>
  <r>
    <n v="484"/>
    <n v="627.92999999999995"/>
    <n v="28865"/>
    <s v="Miami"/>
    <x v="0"/>
    <n v="74"/>
    <x v="0"/>
    <x v="2"/>
    <n v="627.92999999999995"/>
  </r>
  <r>
    <n v="483"/>
    <n v="455.09"/>
    <n v="48302"/>
    <s v="Houston"/>
    <x v="2"/>
    <n v="70"/>
    <x v="0"/>
    <x v="3"/>
    <n v="455.09"/>
  </r>
  <r>
    <n v="482"/>
    <n v="696.05"/>
    <n v="38258"/>
    <s v="Miami"/>
    <x v="4"/>
    <n v="51"/>
    <x v="0"/>
    <x v="2"/>
    <n v="696.05"/>
  </r>
  <r>
    <n v="481"/>
    <n v="629.77"/>
    <n v="64077"/>
    <s v="Chicago"/>
    <x v="3"/>
    <n v="74"/>
    <x v="0"/>
    <x v="0"/>
    <n v="629.77"/>
  </r>
  <r>
    <n v="480"/>
    <n v="523.57000000000005"/>
    <n v="33536"/>
    <s v="Houston"/>
    <x v="0"/>
    <n v="31"/>
    <x v="0"/>
    <x v="3"/>
    <n v="523.57000000000005"/>
  </r>
  <r>
    <n v="479"/>
    <n v="969.33"/>
    <n v="18449"/>
    <s v="Los Angeles"/>
    <x v="0"/>
    <n v="31"/>
    <x v="0"/>
    <x v="1"/>
    <n v="969.33"/>
  </r>
  <r>
    <n v="478"/>
    <n v="554.29999999999995"/>
    <n v="72847"/>
    <s v="Chicago"/>
    <x v="4"/>
    <n v="34"/>
    <x v="0"/>
    <x v="0"/>
    <n v="554.29999999999995"/>
  </r>
  <r>
    <n v="477"/>
    <n v="74.72"/>
    <n v="42460"/>
    <s v="Miami"/>
    <x v="4"/>
    <n v="29"/>
    <x v="0"/>
    <x v="2"/>
    <n v="74.72"/>
  </r>
  <r>
    <n v="476"/>
    <n v="992.97"/>
    <n v="27952"/>
    <s v="Miami"/>
    <x v="3"/>
    <n v="71"/>
    <x v="0"/>
    <x v="2"/>
    <n v="992.97"/>
  </r>
  <r>
    <n v="475"/>
    <n v="528.16999999999996"/>
    <n v="59676"/>
    <s v="New York"/>
    <x v="1"/>
    <n v="75"/>
    <x v="0"/>
    <x v="4"/>
    <n v="528.16999999999996"/>
  </r>
  <r>
    <n v="474"/>
    <n v="891.25"/>
    <n v="2717"/>
    <s v="New York"/>
    <x v="4"/>
    <n v="43"/>
    <x v="0"/>
    <x v="4"/>
    <n v="891.25"/>
  </r>
  <r>
    <n v="473"/>
    <n v="44.12"/>
    <n v="2079"/>
    <s v="Houston"/>
    <x v="3"/>
    <n v="59"/>
    <x v="0"/>
    <x v="3"/>
    <n v="44.12"/>
  </r>
  <r>
    <n v="472"/>
    <n v="969.91"/>
    <n v="58066"/>
    <s v="Chicago"/>
    <x v="1"/>
    <n v="39"/>
    <x v="0"/>
    <x v="0"/>
    <n v="969.91"/>
  </r>
  <r>
    <n v="471"/>
    <n v="13.14"/>
    <n v="33719"/>
    <s v="Houston"/>
    <x v="4"/>
    <n v="53"/>
    <x v="0"/>
    <x v="3"/>
    <n v="13.14"/>
  </r>
  <r>
    <n v="470"/>
    <n v="963.26"/>
    <n v="24442"/>
    <s v="Los Angeles"/>
    <x v="4"/>
    <n v="69"/>
    <x v="0"/>
    <x v="1"/>
    <n v="963.26"/>
  </r>
  <r>
    <n v="469"/>
    <n v="224.37"/>
    <n v="2482"/>
    <s v="Houston"/>
    <x v="0"/>
    <n v="26"/>
    <x v="0"/>
    <x v="3"/>
    <n v="224.37"/>
  </r>
  <r>
    <n v="468"/>
    <m/>
    <n v="41949"/>
    <s v="New York"/>
    <x v="4"/>
    <n v="30"/>
    <x v="0"/>
    <x v="4"/>
    <n v="904.33649430608557"/>
  </r>
  <r>
    <n v="467"/>
    <n v="286.43"/>
    <n v="1759"/>
    <s v="New York"/>
    <x v="0"/>
    <n v="65"/>
    <x v="0"/>
    <x v="4"/>
    <n v="286.43"/>
  </r>
  <r>
    <n v="466"/>
    <n v="375.5"/>
    <n v="75520"/>
    <s v="Chicago"/>
    <x v="2"/>
    <n v="58"/>
    <x v="0"/>
    <x v="0"/>
    <n v="375.5"/>
  </r>
  <r>
    <n v="465"/>
    <n v="962.21"/>
    <n v="20806"/>
    <s v="Miami"/>
    <x v="0"/>
    <n v="19"/>
    <x v="0"/>
    <x v="2"/>
    <n v="962.21"/>
  </r>
  <r>
    <n v="464"/>
    <n v="583.79"/>
    <n v="62823"/>
    <s v="Los Angeles"/>
    <x v="3"/>
    <m/>
    <x v="0"/>
    <x v="1"/>
    <n v="583.79"/>
  </r>
  <r>
    <n v="463"/>
    <n v="746.3"/>
    <n v="75452"/>
    <s v="Houston"/>
    <x v="3"/>
    <n v="44"/>
    <x v="0"/>
    <x v="3"/>
    <n v="746.3"/>
  </r>
  <r>
    <n v="462"/>
    <n v="649.55999999999995"/>
    <n v="21566"/>
    <s v="Los Angeles"/>
    <x v="3"/>
    <n v="56"/>
    <x v="0"/>
    <x v="1"/>
    <n v="649.55999999999995"/>
  </r>
  <r>
    <n v="461"/>
    <n v="118.41"/>
    <n v="24917"/>
    <s v="New York"/>
    <x v="4"/>
    <n v="63"/>
    <x v="0"/>
    <x v="4"/>
    <n v="118.41"/>
  </r>
  <r>
    <n v="460"/>
    <n v="119.7"/>
    <n v="52853"/>
    <s v="Chicago"/>
    <x v="2"/>
    <n v="38"/>
    <x v="0"/>
    <x v="0"/>
    <n v="119.7"/>
  </r>
  <r>
    <n v="459"/>
    <n v="57.25"/>
    <n v="49840"/>
    <s v="Chicago"/>
    <x v="4"/>
    <n v="27"/>
    <x v="0"/>
    <x v="0"/>
    <n v="57.25"/>
  </r>
  <r>
    <n v="458"/>
    <n v="469.19"/>
    <n v="19816"/>
    <s v="Miami"/>
    <x v="4"/>
    <n v="42"/>
    <x v="0"/>
    <x v="2"/>
    <n v="469.19"/>
  </r>
  <r>
    <n v="457"/>
    <n v="12.34"/>
    <n v="46163"/>
    <s v="New York"/>
    <x v="2"/>
    <n v="60"/>
    <x v="0"/>
    <x v="4"/>
    <n v="12.34"/>
  </r>
  <r>
    <n v="456"/>
    <n v="8293.5881936351107"/>
    <n v="70480"/>
    <s v="Chicago"/>
    <x v="1"/>
    <n v="51"/>
    <x v="0"/>
    <x v="0"/>
    <n v="8293.5881936351107"/>
  </r>
  <r>
    <n v="455"/>
    <n v="112.09"/>
    <n v="27696"/>
    <s v="Houston"/>
    <x v="0"/>
    <n v="59"/>
    <x v="0"/>
    <x v="3"/>
    <n v="112.09"/>
  </r>
  <r>
    <n v="454"/>
    <n v="906.45"/>
    <n v="16241"/>
    <s v="Chicago"/>
    <x v="2"/>
    <n v="49"/>
    <x v="0"/>
    <x v="0"/>
    <n v="906.45"/>
  </r>
  <r>
    <n v="453"/>
    <n v="424.8"/>
    <n v="10395"/>
    <s v="Miami"/>
    <x v="4"/>
    <n v="52"/>
    <x v="0"/>
    <x v="2"/>
    <n v="424.8"/>
  </r>
  <r>
    <n v="452"/>
    <m/>
    <n v="19097"/>
    <s v="Miami"/>
    <x v="2"/>
    <n v="57"/>
    <x v="0"/>
    <x v="2"/>
    <n v="724.67005126139316"/>
  </r>
  <r>
    <n v="451"/>
    <n v="777.37"/>
    <n v="4757"/>
    <s v="Miami"/>
    <x v="1"/>
    <n v="21"/>
    <x v="0"/>
    <x v="2"/>
    <n v="777.37"/>
  </r>
  <r>
    <n v="450"/>
    <n v="84.42"/>
    <n v="37148"/>
    <s v="Houston"/>
    <x v="2"/>
    <n v="18"/>
    <x v="0"/>
    <x v="3"/>
    <n v="84.42"/>
  </r>
  <r>
    <n v="449"/>
    <n v="376.88"/>
    <n v="46240"/>
    <m/>
    <x v="3"/>
    <n v="20"/>
    <x v="0"/>
    <x v="3"/>
    <n v="376.88"/>
  </r>
  <r>
    <n v="448"/>
    <n v="753.62"/>
    <n v="19956"/>
    <s v="New York"/>
    <x v="4"/>
    <n v="22"/>
    <x v="0"/>
    <x v="4"/>
    <n v="753.62"/>
  </r>
  <r>
    <n v="447"/>
    <n v="986.02"/>
    <n v="45765"/>
    <s v="Chicago"/>
    <x v="1"/>
    <n v="61"/>
    <x v="0"/>
    <x v="0"/>
    <n v="986.02"/>
  </r>
  <r>
    <n v="446"/>
    <n v="947.3"/>
    <n v="70835"/>
    <s v="Chicago"/>
    <x v="2"/>
    <n v="18"/>
    <x v="0"/>
    <x v="0"/>
    <n v="947.3"/>
  </r>
  <r>
    <n v="445"/>
    <n v="812.99"/>
    <n v="67526"/>
    <s v="Chicago"/>
    <x v="3"/>
    <n v="25"/>
    <x v="0"/>
    <x v="0"/>
    <n v="812.99"/>
  </r>
  <r>
    <n v="444"/>
    <n v="371.27"/>
    <n v="79026"/>
    <s v="Houston"/>
    <x v="1"/>
    <n v="33"/>
    <x v="1"/>
    <x v="3"/>
    <n v="371.27"/>
  </r>
  <r>
    <n v="443"/>
    <n v="374.9"/>
    <n v="70507"/>
    <s v="Los Angeles"/>
    <x v="4"/>
    <n v="75"/>
    <x v="0"/>
    <x v="1"/>
    <n v="374.9"/>
  </r>
  <r>
    <n v="442"/>
    <n v="986.65"/>
    <n v="41914"/>
    <s v="Houston"/>
    <x v="3"/>
    <n v="59"/>
    <x v="0"/>
    <x v="3"/>
    <n v="986.65"/>
  </r>
  <r>
    <n v="441"/>
    <n v="85.75"/>
    <n v="6783"/>
    <s v="Chicago"/>
    <x v="4"/>
    <n v="25"/>
    <x v="0"/>
    <x v="0"/>
    <n v="85.75"/>
  </r>
  <r>
    <n v="440"/>
    <n v="82.27"/>
    <n v="36368"/>
    <s v="Miami"/>
    <x v="2"/>
    <n v="64"/>
    <x v="0"/>
    <x v="2"/>
    <n v="82.27"/>
  </r>
  <r>
    <n v="439"/>
    <n v="706.54"/>
    <n v="57761"/>
    <s v="Miami"/>
    <x v="4"/>
    <n v="54"/>
    <x v="0"/>
    <x v="2"/>
    <n v="706.54"/>
  </r>
  <r>
    <n v="438"/>
    <n v="822.04"/>
    <n v="8666"/>
    <s v="New York"/>
    <x v="0"/>
    <n v="42"/>
    <x v="0"/>
    <x v="4"/>
    <n v="822.04"/>
  </r>
  <r>
    <n v="437"/>
    <n v="73.69"/>
    <n v="8070"/>
    <s v="Miami"/>
    <x v="3"/>
    <n v="64"/>
    <x v="0"/>
    <x v="2"/>
    <n v="73.69"/>
  </r>
  <r>
    <n v="436"/>
    <n v="701.27"/>
    <n v="8577"/>
    <s v="Chicago"/>
    <x v="4"/>
    <n v="61"/>
    <x v="0"/>
    <x v="0"/>
    <n v="701.27"/>
  </r>
  <r>
    <n v="435"/>
    <n v="85.02"/>
    <n v="73509"/>
    <s v="New York"/>
    <x v="0"/>
    <n v="56"/>
    <x v="0"/>
    <x v="4"/>
    <n v="85.02"/>
  </r>
  <r>
    <n v="434"/>
    <n v="102.02"/>
    <n v="49688"/>
    <s v="Houston"/>
    <x v="1"/>
    <n v="47"/>
    <x v="0"/>
    <x v="3"/>
    <n v="102.02"/>
  </r>
  <r>
    <n v="433"/>
    <n v="618.6"/>
    <n v="63731"/>
    <s v="Miami"/>
    <x v="0"/>
    <n v="46"/>
    <x v="0"/>
    <x v="2"/>
    <n v="618.6"/>
  </r>
  <r>
    <n v="432"/>
    <n v="761.75"/>
    <n v="25150"/>
    <m/>
    <x v="0"/>
    <n v="40"/>
    <x v="0"/>
    <x v="2"/>
    <n v="761.75"/>
  </r>
  <r>
    <n v="431"/>
    <n v="143.85"/>
    <n v="40738"/>
    <s v="Los Angeles"/>
    <x v="1"/>
    <n v="36"/>
    <x v="0"/>
    <x v="1"/>
    <n v="143.85"/>
  </r>
  <r>
    <n v="430"/>
    <n v="117.95"/>
    <n v="13224"/>
    <s v="Los Angeles"/>
    <x v="4"/>
    <n v="71"/>
    <x v="0"/>
    <x v="1"/>
    <n v="117.95"/>
  </r>
  <r>
    <n v="429"/>
    <n v="351.56"/>
    <n v="39224"/>
    <s v="Los Angeles"/>
    <x v="0"/>
    <n v="20"/>
    <x v="0"/>
    <x v="1"/>
    <n v="351.56"/>
  </r>
  <r>
    <n v="428"/>
    <n v="887.82"/>
    <n v="57545"/>
    <s v="Chicago"/>
    <x v="3"/>
    <n v="73"/>
    <x v="0"/>
    <x v="0"/>
    <n v="887.82"/>
  </r>
  <r>
    <n v="427"/>
    <n v="442.09"/>
    <n v="75060"/>
    <s v="Chicago"/>
    <x v="4"/>
    <n v="50"/>
    <x v="0"/>
    <x v="0"/>
    <n v="442.09"/>
  </r>
  <r>
    <n v="426"/>
    <n v="549.98"/>
    <n v="56264"/>
    <s v="New York"/>
    <x v="3"/>
    <n v="78"/>
    <x v="0"/>
    <x v="4"/>
    <n v="549.98"/>
  </r>
  <r>
    <n v="425"/>
    <n v="58.5"/>
    <n v="11694"/>
    <s v="Chicago"/>
    <x v="2"/>
    <n v="54"/>
    <x v="0"/>
    <x v="0"/>
    <n v="58.5"/>
  </r>
  <r>
    <n v="424"/>
    <n v="494.93"/>
    <n v="68244"/>
    <s v="Miami"/>
    <x v="2"/>
    <n v="5"/>
    <x v="0"/>
    <x v="2"/>
    <n v="494.93"/>
  </r>
  <r>
    <n v="423"/>
    <n v="92.11"/>
    <n v="63374"/>
    <s v="Houston"/>
    <x v="4"/>
    <n v="39"/>
    <x v="0"/>
    <x v="3"/>
    <n v="92.11"/>
  </r>
  <r>
    <n v="422"/>
    <n v="789.83"/>
    <n v="39282"/>
    <s v="Miami"/>
    <x v="1"/>
    <n v="30"/>
    <x v="0"/>
    <x v="2"/>
    <n v="789.83"/>
  </r>
  <r>
    <n v="421"/>
    <n v="791.79"/>
    <n v="37430"/>
    <s v="Houston"/>
    <x v="4"/>
    <n v="61"/>
    <x v="0"/>
    <x v="3"/>
    <n v="791.79"/>
  </r>
  <r>
    <n v="420"/>
    <n v="752.62"/>
    <n v="53173"/>
    <s v="Chicago"/>
    <x v="1"/>
    <n v="41"/>
    <x v="0"/>
    <x v="0"/>
    <n v="752.62"/>
  </r>
  <r>
    <n v="419"/>
    <n v="672.85"/>
    <n v="19256"/>
    <s v="Chicago"/>
    <x v="0"/>
    <n v="40"/>
    <x v="0"/>
    <x v="0"/>
    <n v="672.85"/>
  </r>
  <r>
    <n v="418"/>
    <n v="329.34"/>
    <n v="47523"/>
    <s v="Houston"/>
    <x v="0"/>
    <n v="68"/>
    <x v="0"/>
    <x v="3"/>
    <n v="329.34"/>
  </r>
  <r>
    <n v="417"/>
    <n v="293.92"/>
    <n v="1645"/>
    <s v="Houston"/>
    <x v="3"/>
    <n v="32"/>
    <x v="0"/>
    <x v="3"/>
    <n v="293.92"/>
  </r>
  <r>
    <n v="416"/>
    <n v="449"/>
    <n v="36244"/>
    <s v="Miami"/>
    <x v="2"/>
    <n v="48"/>
    <x v="0"/>
    <x v="2"/>
    <n v="449"/>
  </r>
  <r>
    <n v="415"/>
    <n v="632.21"/>
    <n v="22116"/>
    <s v="Los Angeles"/>
    <x v="1"/>
    <n v="67"/>
    <x v="0"/>
    <x v="1"/>
    <n v="632.21"/>
  </r>
  <r>
    <n v="414"/>
    <n v="573.86"/>
    <n v="76589"/>
    <s v="Los Angeles"/>
    <x v="2"/>
    <n v="44"/>
    <x v="0"/>
    <x v="1"/>
    <n v="573.86"/>
  </r>
  <r>
    <n v="413"/>
    <n v="950.66"/>
    <n v="34560"/>
    <s v="Chicago"/>
    <x v="3"/>
    <n v="69"/>
    <x v="0"/>
    <x v="0"/>
    <n v="950.66"/>
  </r>
  <r>
    <n v="412"/>
    <n v="950.11"/>
    <n v="13718"/>
    <s v="Los Angeles"/>
    <x v="1"/>
    <n v="32"/>
    <x v="0"/>
    <x v="1"/>
    <n v="950.11"/>
  </r>
  <r>
    <n v="411"/>
    <n v="319.99"/>
    <n v="47882"/>
    <s v="New York"/>
    <x v="2"/>
    <n v="38"/>
    <x v="1"/>
    <x v="4"/>
    <n v="319.99"/>
  </r>
  <r>
    <n v="410"/>
    <n v="92.2"/>
    <n v="3797"/>
    <s v="Los Angeles"/>
    <x v="0"/>
    <n v="46"/>
    <x v="0"/>
    <x v="1"/>
    <n v="92.2"/>
  </r>
  <r>
    <n v="409"/>
    <n v="905.48"/>
    <n v="68904"/>
    <s v="New York"/>
    <x v="0"/>
    <n v="19"/>
    <x v="0"/>
    <x v="4"/>
    <n v="905.48"/>
  </r>
  <r>
    <n v="408"/>
    <n v="11.83"/>
    <n v="44327"/>
    <s v="Houston"/>
    <x v="3"/>
    <n v="35"/>
    <x v="0"/>
    <x v="3"/>
    <n v="11.83"/>
  </r>
  <r>
    <n v="407"/>
    <n v="389.81"/>
    <n v="86066"/>
    <s v="New York"/>
    <x v="3"/>
    <n v="30"/>
    <x v="0"/>
    <x v="4"/>
    <n v="389.81"/>
  </r>
  <r>
    <n v="406"/>
    <n v="895.63"/>
    <n v="55176"/>
    <s v="Chicago"/>
    <x v="0"/>
    <n v="46"/>
    <x v="0"/>
    <x v="0"/>
    <n v="895.63"/>
  </r>
  <r>
    <n v="405"/>
    <n v="320.73"/>
    <n v="65310"/>
    <s v="Houston"/>
    <x v="2"/>
    <n v="45"/>
    <x v="0"/>
    <x v="3"/>
    <n v="320.73"/>
  </r>
  <r>
    <n v="404"/>
    <m/>
    <n v="27632"/>
    <s v="Los Angeles"/>
    <x v="1"/>
    <n v="39"/>
    <x v="0"/>
    <x v="1"/>
    <n v="535.27400000000011"/>
  </r>
  <r>
    <n v="403"/>
    <n v="6481.7880675664401"/>
    <n v="52329"/>
    <s v="Houston"/>
    <x v="4"/>
    <n v="42"/>
    <x v="0"/>
    <x v="3"/>
    <n v="6481.7880675664401"/>
  </r>
  <r>
    <n v="402"/>
    <n v="902.65"/>
    <n v="126"/>
    <m/>
    <x v="1"/>
    <n v="60"/>
    <x v="0"/>
    <x v="0"/>
    <n v="902.65"/>
  </r>
  <r>
    <n v="401"/>
    <n v="104.02"/>
    <n v="53028"/>
    <s v="Houston"/>
    <x v="3"/>
    <n v="39"/>
    <x v="0"/>
    <x v="3"/>
    <n v="104.02"/>
  </r>
  <r>
    <n v="400"/>
    <n v="754.79"/>
    <n v="60279"/>
    <s v="Miami"/>
    <x v="0"/>
    <n v="39"/>
    <x v="0"/>
    <x v="2"/>
    <n v="754.79"/>
  </r>
  <r>
    <n v="399"/>
    <n v="751.12"/>
    <n v="64644"/>
    <s v="Miami"/>
    <x v="3"/>
    <n v="28"/>
    <x v="0"/>
    <x v="2"/>
    <n v="751.12"/>
  </r>
  <r>
    <n v="398"/>
    <n v="429.57"/>
    <n v="80879"/>
    <s v="Houston"/>
    <x v="0"/>
    <n v="49"/>
    <x v="0"/>
    <x v="3"/>
    <n v="429.57"/>
  </r>
  <r>
    <n v="397"/>
    <n v="858.55"/>
    <n v="37219"/>
    <s v="Houston"/>
    <x v="2"/>
    <n v="61"/>
    <x v="0"/>
    <x v="3"/>
    <n v="858.55"/>
  </r>
  <r>
    <n v="396"/>
    <n v="930.83"/>
    <n v="39915"/>
    <s v="Los Angeles"/>
    <x v="4"/>
    <n v="40"/>
    <x v="0"/>
    <x v="1"/>
    <n v="930.83"/>
  </r>
  <r>
    <n v="395"/>
    <n v="341.46"/>
    <n v="85451"/>
    <s v="New York"/>
    <x v="1"/>
    <n v="24"/>
    <x v="0"/>
    <x v="4"/>
    <n v="341.46"/>
  </r>
  <r>
    <n v="394"/>
    <n v="776.64"/>
    <n v="27306"/>
    <s v="Los Angeles"/>
    <x v="0"/>
    <n v="63"/>
    <x v="0"/>
    <x v="1"/>
    <n v="776.64"/>
  </r>
  <r>
    <n v="393"/>
    <m/>
    <n v="56942"/>
    <s v="Chicago"/>
    <x v="3"/>
    <n v="57"/>
    <x v="0"/>
    <x v="0"/>
    <n v="585.44833333333338"/>
  </r>
  <r>
    <n v="392"/>
    <n v="413.21"/>
    <n v="15328"/>
    <s v="Chicago"/>
    <x v="2"/>
    <n v="63"/>
    <x v="0"/>
    <x v="0"/>
    <n v="413.21"/>
  </r>
  <r>
    <n v="391"/>
    <m/>
    <n v="17368"/>
    <s v="Miami"/>
    <x v="0"/>
    <n v="25"/>
    <x v="0"/>
    <x v="2"/>
    <n v="956.36244346902424"/>
  </r>
  <r>
    <n v="390"/>
    <n v="807.03"/>
    <n v="73319"/>
    <s v="Houston"/>
    <x v="2"/>
    <n v="79"/>
    <x v="0"/>
    <x v="3"/>
    <n v="807.03"/>
  </r>
  <r>
    <n v="389"/>
    <n v="750.86"/>
    <n v="75916"/>
    <s v="Los Angeles"/>
    <x v="4"/>
    <n v="38"/>
    <x v="0"/>
    <x v="1"/>
    <n v="750.86"/>
  </r>
  <r>
    <n v="388"/>
    <n v="178.26"/>
    <n v="75993"/>
    <s v="New York"/>
    <x v="1"/>
    <n v="79"/>
    <x v="0"/>
    <x v="4"/>
    <n v="178.26"/>
  </r>
  <r>
    <n v="387"/>
    <n v="282.75"/>
    <n v="2443"/>
    <s v="New York"/>
    <x v="2"/>
    <n v="30"/>
    <x v="0"/>
    <x v="4"/>
    <n v="282.75"/>
  </r>
  <r>
    <n v="386"/>
    <n v="803.68"/>
    <n v="76077"/>
    <s v="New York"/>
    <x v="0"/>
    <m/>
    <x v="0"/>
    <x v="4"/>
    <n v="803.68"/>
  </r>
  <r>
    <n v="385"/>
    <n v="735.34"/>
    <n v="814"/>
    <s v="Chicago"/>
    <x v="2"/>
    <n v="35"/>
    <x v="0"/>
    <x v="0"/>
    <n v="735.34"/>
  </r>
  <r>
    <n v="384"/>
    <n v="877.59"/>
    <n v="55318"/>
    <s v="Miami"/>
    <x v="4"/>
    <n v="64"/>
    <x v="0"/>
    <x v="2"/>
    <n v="877.59"/>
  </r>
  <r>
    <n v="383"/>
    <n v="629.30999999999995"/>
    <n v="12999"/>
    <s v="Los Angeles"/>
    <x v="4"/>
    <n v="58"/>
    <x v="0"/>
    <x v="1"/>
    <n v="629.30999999999995"/>
  </r>
  <r>
    <n v="382"/>
    <n v="697.04"/>
    <n v="76325"/>
    <s v="Houston"/>
    <x v="1"/>
    <n v="29"/>
    <x v="0"/>
    <x v="3"/>
    <n v="697.04"/>
  </r>
  <r>
    <n v="381"/>
    <m/>
    <n v="14153"/>
    <s v="Miami"/>
    <x v="2"/>
    <n v="66"/>
    <x v="0"/>
    <x v="2"/>
    <n v="724.67005126139316"/>
  </r>
  <r>
    <n v="380"/>
    <n v="282.57"/>
    <n v="77834"/>
    <s v="Miami"/>
    <x v="4"/>
    <n v="56"/>
    <x v="0"/>
    <x v="2"/>
    <n v="282.57"/>
  </r>
  <r>
    <n v="379"/>
    <n v="814.65"/>
    <n v="71315"/>
    <s v="Los Angeles"/>
    <x v="3"/>
    <n v="72"/>
    <x v="0"/>
    <x v="1"/>
    <n v="814.65"/>
  </r>
  <r>
    <n v="378"/>
    <n v="24.25"/>
    <n v="75683"/>
    <s v="Houston"/>
    <x v="1"/>
    <n v="47"/>
    <x v="0"/>
    <x v="3"/>
    <n v="24.25"/>
  </r>
  <r>
    <n v="377"/>
    <n v="845.03"/>
    <n v="39666"/>
    <s v="Los Angeles"/>
    <x v="2"/>
    <n v="49"/>
    <x v="0"/>
    <x v="1"/>
    <n v="845.03"/>
  </r>
  <r>
    <n v="376"/>
    <n v="319.66000000000003"/>
    <n v="16478"/>
    <s v="Miami"/>
    <x v="0"/>
    <n v="75"/>
    <x v="0"/>
    <x v="2"/>
    <n v="319.66000000000003"/>
  </r>
  <r>
    <n v="375"/>
    <n v="72.12"/>
    <n v="20609"/>
    <s v="Chicago"/>
    <x v="2"/>
    <n v="52"/>
    <x v="0"/>
    <x v="0"/>
    <n v="72.12"/>
  </r>
  <r>
    <n v="374"/>
    <n v="683.32"/>
    <n v="3756"/>
    <s v="Los Angeles"/>
    <x v="3"/>
    <n v="38"/>
    <x v="0"/>
    <x v="1"/>
    <n v="683.32"/>
  </r>
  <r>
    <n v="373"/>
    <n v="95.35"/>
    <n v="84291"/>
    <s v="Los Angeles"/>
    <x v="0"/>
    <n v="73"/>
    <x v="0"/>
    <x v="1"/>
    <n v="95.35"/>
  </r>
  <r>
    <n v="372"/>
    <n v="19.2"/>
    <n v="14382"/>
    <s v="Chicago"/>
    <x v="2"/>
    <m/>
    <x v="0"/>
    <x v="0"/>
    <n v="19.2"/>
  </r>
  <r>
    <n v="371"/>
    <n v="101.68"/>
    <n v="64772"/>
    <s v="New York"/>
    <x v="2"/>
    <n v="63"/>
    <x v="0"/>
    <x v="4"/>
    <n v="101.68"/>
  </r>
  <r>
    <n v="370"/>
    <n v="70.290000000000006"/>
    <n v="20103"/>
    <s v="Los Angeles"/>
    <x v="0"/>
    <n v="68"/>
    <x v="0"/>
    <x v="1"/>
    <n v="70.290000000000006"/>
  </r>
  <r>
    <n v="369"/>
    <n v="196.6"/>
    <n v="40631"/>
    <s v="Miami"/>
    <x v="2"/>
    <n v="49"/>
    <x v="0"/>
    <x v="2"/>
    <n v="196.6"/>
  </r>
  <r>
    <n v="368"/>
    <n v="905.45"/>
    <n v="64435"/>
    <s v="Chicago"/>
    <x v="0"/>
    <n v="61"/>
    <x v="0"/>
    <x v="0"/>
    <n v="905.45"/>
  </r>
  <r>
    <n v="367"/>
    <n v="961.23"/>
    <n v="71895"/>
    <s v="Miami"/>
    <x v="4"/>
    <n v="38"/>
    <x v="0"/>
    <x v="2"/>
    <n v="961.23"/>
  </r>
  <r>
    <n v="366"/>
    <n v="386.72"/>
    <n v="71907"/>
    <s v="Houston"/>
    <x v="3"/>
    <n v="37"/>
    <x v="0"/>
    <x v="3"/>
    <n v="386.72"/>
  </r>
  <r>
    <n v="365"/>
    <n v="941.52"/>
    <n v="29486"/>
    <s v="Chicago"/>
    <x v="3"/>
    <n v="47"/>
    <x v="0"/>
    <x v="0"/>
    <n v="941.52"/>
  </r>
  <r>
    <n v="364"/>
    <n v="546.07000000000005"/>
    <n v="23710"/>
    <s v="Houston"/>
    <x v="1"/>
    <n v="69"/>
    <x v="0"/>
    <x v="3"/>
    <n v="546.07000000000005"/>
  </r>
  <r>
    <n v="363"/>
    <n v="458.79"/>
    <n v="55180"/>
    <s v="Los Angeles"/>
    <x v="2"/>
    <n v="39"/>
    <x v="0"/>
    <x v="1"/>
    <n v="458.79"/>
  </r>
  <r>
    <n v="362"/>
    <m/>
    <n v="46197"/>
    <s v="Miami"/>
    <x v="3"/>
    <n v="67"/>
    <x v="1"/>
    <x v="2"/>
    <n v="225.05"/>
  </r>
  <r>
    <n v="361"/>
    <n v="388.78"/>
    <n v="43872"/>
    <s v="New York"/>
    <x v="4"/>
    <m/>
    <x v="0"/>
    <x v="4"/>
    <n v="388.78"/>
  </r>
  <r>
    <n v="360"/>
    <n v="9691.5786432565801"/>
    <n v="32265"/>
    <s v="Miami"/>
    <x v="0"/>
    <n v="75"/>
    <x v="0"/>
    <x v="2"/>
    <n v="9691.5786432565801"/>
  </r>
  <r>
    <n v="359"/>
    <n v="940.29"/>
    <n v="59201"/>
    <s v="Chicago"/>
    <x v="4"/>
    <n v="5"/>
    <x v="0"/>
    <x v="0"/>
    <n v="940.29"/>
  </r>
  <r>
    <n v="358"/>
    <n v="586.19000000000005"/>
    <n v="19029"/>
    <s v="Miami"/>
    <x v="4"/>
    <n v="31"/>
    <x v="1"/>
    <x v="2"/>
    <n v="586.19000000000005"/>
  </r>
  <r>
    <n v="357"/>
    <n v="27.48"/>
    <n v="67779"/>
    <s v="New York"/>
    <x v="4"/>
    <n v="76"/>
    <x v="0"/>
    <x v="4"/>
    <n v="27.48"/>
  </r>
  <r>
    <n v="356"/>
    <m/>
    <n v="2336"/>
    <s v="Chicago"/>
    <x v="2"/>
    <n v="57"/>
    <x v="0"/>
    <x v="0"/>
    <n v="463.83699999999999"/>
  </r>
  <r>
    <n v="355"/>
    <n v="71.5"/>
    <n v="82870"/>
    <s v="Chicago"/>
    <x v="3"/>
    <n v="42"/>
    <x v="0"/>
    <x v="0"/>
    <n v="71.5"/>
  </r>
  <r>
    <n v="354"/>
    <n v="163.77000000000001"/>
    <n v="32154"/>
    <s v="New York"/>
    <x v="2"/>
    <n v="26"/>
    <x v="0"/>
    <x v="4"/>
    <n v="163.77000000000001"/>
  </r>
  <r>
    <n v="353"/>
    <m/>
    <n v="64484"/>
    <s v="Houston"/>
    <x v="0"/>
    <n v="72"/>
    <x v="0"/>
    <x v="3"/>
    <n v="344.73066666666659"/>
  </r>
  <r>
    <n v="352"/>
    <n v="856.63"/>
    <n v="44028"/>
    <s v="Chicago"/>
    <x v="3"/>
    <n v="35"/>
    <x v="0"/>
    <x v="0"/>
    <n v="856.63"/>
  </r>
  <r>
    <n v="351"/>
    <n v="503.63"/>
    <n v="66656"/>
    <s v="New York"/>
    <x v="2"/>
    <n v="57"/>
    <x v="0"/>
    <x v="4"/>
    <n v="503.63"/>
  </r>
  <r>
    <n v="350"/>
    <n v="626.23"/>
    <n v="10789"/>
    <s v="Miami"/>
    <x v="4"/>
    <n v="34"/>
    <x v="0"/>
    <x v="2"/>
    <n v="626.23"/>
  </r>
  <r>
    <n v="349"/>
    <n v="375.24"/>
    <n v="51356"/>
    <s v="Miami"/>
    <x v="1"/>
    <n v="32"/>
    <x v="0"/>
    <x v="2"/>
    <n v="375.24"/>
  </r>
  <r>
    <n v="348"/>
    <n v="46.26"/>
    <n v="922"/>
    <s v="Chicago"/>
    <x v="0"/>
    <n v="27"/>
    <x v="0"/>
    <x v="0"/>
    <n v="46.26"/>
  </r>
  <r>
    <n v="347"/>
    <n v="635.46"/>
    <n v="9446"/>
    <s v="Los Angeles"/>
    <x v="2"/>
    <n v="28"/>
    <x v="0"/>
    <x v="1"/>
    <n v="635.46"/>
  </r>
  <r>
    <n v="346"/>
    <n v="616.23"/>
    <n v="25053"/>
    <s v="Chicago"/>
    <x v="4"/>
    <n v="51"/>
    <x v="0"/>
    <x v="0"/>
    <n v="616.23"/>
  </r>
  <r>
    <n v="345"/>
    <n v="399.11"/>
    <n v="59379"/>
    <s v="Los Angeles"/>
    <x v="3"/>
    <n v="77"/>
    <x v="0"/>
    <x v="1"/>
    <n v="399.11"/>
  </r>
  <r>
    <n v="344"/>
    <n v="434.42"/>
    <n v="5408"/>
    <s v="Chicago"/>
    <x v="0"/>
    <n v="49"/>
    <x v="0"/>
    <x v="0"/>
    <n v="434.42"/>
  </r>
  <r>
    <n v="343"/>
    <n v="174.03"/>
    <n v="71324"/>
    <m/>
    <x v="2"/>
    <n v="49"/>
    <x v="0"/>
    <x v="2"/>
    <n v="174.03"/>
  </r>
  <r>
    <n v="342"/>
    <n v="474"/>
    <n v="80910"/>
    <s v="Miami"/>
    <x v="2"/>
    <n v="33"/>
    <x v="0"/>
    <x v="2"/>
    <n v="474"/>
  </r>
  <r>
    <n v="341"/>
    <n v="492.12"/>
    <n v="56819"/>
    <s v="Los Angeles"/>
    <x v="4"/>
    <n v="48"/>
    <x v="0"/>
    <x v="1"/>
    <n v="492.12"/>
  </r>
  <r>
    <n v="340"/>
    <n v="98.74"/>
    <n v="24519"/>
    <s v="New York"/>
    <x v="2"/>
    <n v="49"/>
    <x v="1"/>
    <x v="4"/>
    <n v="98.74"/>
  </r>
  <r>
    <n v="339"/>
    <n v="474.7"/>
    <n v="83122"/>
    <s v="Miami"/>
    <x v="1"/>
    <n v="70"/>
    <x v="0"/>
    <x v="2"/>
    <n v="474.7"/>
  </r>
  <r>
    <n v="338"/>
    <n v="703.95"/>
    <n v="54917"/>
    <s v="Miami"/>
    <x v="4"/>
    <n v="30"/>
    <x v="0"/>
    <x v="2"/>
    <n v="703.95"/>
  </r>
  <r>
    <n v="337"/>
    <n v="855.61"/>
    <n v="41157"/>
    <s v="Houston"/>
    <x v="3"/>
    <m/>
    <x v="0"/>
    <x v="3"/>
    <n v="855.61"/>
  </r>
  <r>
    <n v="336"/>
    <n v="41.69"/>
    <n v="67506"/>
    <s v="Miami"/>
    <x v="1"/>
    <n v="19"/>
    <x v="0"/>
    <x v="2"/>
    <n v="41.69"/>
  </r>
  <r>
    <n v="335"/>
    <n v="46.96"/>
    <n v="11302"/>
    <s v="Houston"/>
    <x v="4"/>
    <n v="57"/>
    <x v="0"/>
    <x v="3"/>
    <n v="46.96"/>
  </r>
  <r>
    <n v="334"/>
    <m/>
    <n v="4018"/>
    <m/>
    <x v="3"/>
    <n v="44"/>
    <x v="0"/>
    <x v="3"/>
    <n v="471.92071428571433"/>
  </r>
  <r>
    <n v="333"/>
    <m/>
    <n v="36455"/>
    <s v="Los Angeles"/>
    <x v="4"/>
    <m/>
    <x v="0"/>
    <x v="1"/>
    <n v="533.33758620689673"/>
  </r>
  <r>
    <n v="332"/>
    <n v="758.09"/>
    <n v="18381"/>
    <s v="Los Angeles"/>
    <x v="3"/>
    <n v="53"/>
    <x v="0"/>
    <x v="1"/>
    <n v="758.09"/>
  </r>
  <r>
    <n v="331"/>
    <n v="356.62"/>
    <n v="45558"/>
    <s v="Miami"/>
    <x v="2"/>
    <n v="38"/>
    <x v="0"/>
    <x v="2"/>
    <n v="356.62"/>
  </r>
  <r>
    <n v="330"/>
    <n v="248.48"/>
    <n v="11246"/>
    <s v="Chicago"/>
    <x v="1"/>
    <n v="27"/>
    <x v="0"/>
    <x v="0"/>
    <n v="248.48"/>
  </r>
  <r>
    <n v="329"/>
    <n v="420.18"/>
    <n v="34016"/>
    <s v="Houston"/>
    <x v="3"/>
    <n v="67"/>
    <x v="0"/>
    <x v="3"/>
    <n v="420.18"/>
  </r>
  <r>
    <n v="328"/>
    <n v="612.11"/>
    <n v="67728"/>
    <s v="Los Angeles"/>
    <x v="3"/>
    <n v="79"/>
    <x v="0"/>
    <x v="1"/>
    <n v="612.11"/>
  </r>
  <r>
    <n v="327"/>
    <n v="554.79999999999995"/>
    <n v="19096"/>
    <s v="Chicago"/>
    <x v="4"/>
    <n v="72"/>
    <x v="0"/>
    <x v="0"/>
    <n v="554.79999999999995"/>
  </r>
  <r>
    <n v="326"/>
    <n v="5516.3250443752404"/>
    <n v="9184"/>
    <s v="Chicago"/>
    <x v="1"/>
    <n v="75"/>
    <x v="0"/>
    <x v="0"/>
    <n v="5516.3250443752404"/>
  </r>
  <r>
    <n v="325"/>
    <n v="954.91"/>
    <n v="18574"/>
    <s v="Miami"/>
    <x v="1"/>
    <n v="42"/>
    <x v="0"/>
    <x v="2"/>
    <n v="954.91"/>
  </r>
  <r>
    <n v="324"/>
    <n v="280.64999999999998"/>
    <n v="71520"/>
    <s v="New York"/>
    <x v="4"/>
    <n v="58"/>
    <x v="0"/>
    <x v="4"/>
    <n v="280.64999999999998"/>
  </r>
  <r>
    <n v="323"/>
    <n v="660.54"/>
    <n v="72101"/>
    <s v="New York"/>
    <x v="0"/>
    <n v="58"/>
    <x v="0"/>
    <x v="4"/>
    <n v="660.54"/>
  </r>
  <r>
    <n v="322"/>
    <n v="714.88"/>
    <n v="73340"/>
    <s v="Los Angeles"/>
    <x v="4"/>
    <n v="31"/>
    <x v="1"/>
    <x v="1"/>
    <n v="714.88"/>
  </r>
  <r>
    <n v="321"/>
    <n v="549.67999999999995"/>
    <n v="11954"/>
    <s v="Houston"/>
    <x v="3"/>
    <n v="21"/>
    <x v="0"/>
    <x v="3"/>
    <n v="549.67999999999995"/>
  </r>
  <r>
    <n v="320"/>
    <n v="250.99"/>
    <n v="39711"/>
    <s v="Los Angeles"/>
    <x v="1"/>
    <n v="79"/>
    <x v="0"/>
    <x v="1"/>
    <n v="250.99"/>
  </r>
  <r>
    <n v="319"/>
    <n v="157.28"/>
    <n v="29287"/>
    <s v="New York"/>
    <x v="3"/>
    <n v="53"/>
    <x v="0"/>
    <x v="4"/>
    <n v="157.28"/>
  </r>
  <r>
    <n v="318"/>
    <n v="174.12"/>
    <n v="75046"/>
    <s v="Chicago"/>
    <x v="3"/>
    <n v="66"/>
    <x v="0"/>
    <x v="0"/>
    <n v="174.12"/>
  </r>
  <r>
    <n v="317"/>
    <n v="409.54"/>
    <n v="59207"/>
    <s v="New York"/>
    <x v="1"/>
    <n v="20"/>
    <x v="0"/>
    <x v="4"/>
    <n v="409.54"/>
  </r>
  <r>
    <n v="316"/>
    <n v="696.28"/>
    <n v="43303"/>
    <s v="Miami"/>
    <x v="1"/>
    <n v="67"/>
    <x v="0"/>
    <x v="2"/>
    <n v="696.28"/>
  </r>
  <r>
    <n v="315"/>
    <n v="836.14"/>
    <n v="84056"/>
    <s v="Houston"/>
    <x v="4"/>
    <n v="32"/>
    <x v="0"/>
    <x v="3"/>
    <n v="836.14"/>
  </r>
  <r>
    <n v="314"/>
    <n v="962.69"/>
    <n v="82985"/>
    <s v="Chicago"/>
    <x v="2"/>
    <n v="19"/>
    <x v="0"/>
    <x v="0"/>
    <n v="962.69"/>
  </r>
  <r>
    <n v="313"/>
    <n v="26.33"/>
    <n v="14060"/>
    <s v="Chicago"/>
    <x v="1"/>
    <n v="26"/>
    <x v="0"/>
    <x v="0"/>
    <n v="26.33"/>
  </r>
  <r>
    <n v="312"/>
    <n v="79.38"/>
    <n v="16984"/>
    <s v="New York"/>
    <x v="4"/>
    <n v="42"/>
    <x v="0"/>
    <x v="4"/>
    <n v="79.38"/>
  </r>
  <r>
    <n v="311"/>
    <n v="439.53"/>
    <n v="20611"/>
    <s v="Chicago"/>
    <x v="4"/>
    <n v="57"/>
    <x v="0"/>
    <x v="0"/>
    <n v="439.53"/>
  </r>
  <r>
    <n v="310"/>
    <n v="271.56"/>
    <n v="77"/>
    <s v="Los Angeles"/>
    <x v="3"/>
    <n v="25"/>
    <x v="0"/>
    <x v="1"/>
    <n v="271.56"/>
  </r>
  <r>
    <n v="309"/>
    <n v="795.39"/>
    <n v="23930"/>
    <m/>
    <x v="2"/>
    <n v="48"/>
    <x v="0"/>
    <x v="2"/>
    <n v="795.39"/>
  </r>
  <r>
    <n v="308"/>
    <n v="323.63"/>
    <n v="19282"/>
    <s v="Houston"/>
    <x v="3"/>
    <n v="34"/>
    <x v="0"/>
    <x v="3"/>
    <n v="323.63"/>
  </r>
  <r>
    <n v="307"/>
    <n v="7974.2368975095396"/>
    <n v="15524"/>
    <s v="New York"/>
    <x v="4"/>
    <n v="45"/>
    <x v="0"/>
    <x v="4"/>
    <n v="7974.2368975095396"/>
  </r>
  <r>
    <n v="306"/>
    <n v="975.88"/>
    <n v="30523"/>
    <s v="New York"/>
    <x v="0"/>
    <n v="65"/>
    <x v="0"/>
    <x v="4"/>
    <n v="975.88"/>
  </r>
  <r>
    <n v="305"/>
    <n v="726.37"/>
    <n v="58596"/>
    <s v="Miami"/>
    <x v="2"/>
    <n v="49"/>
    <x v="0"/>
    <x v="2"/>
    <n v="726.37"/>
  </r>
  <r>
    <n v="304"/>
    <n v="637.79"/>
    <n v="41832"/>
    <s v="Miami"/>
    <x v="3"/>
    <n v="64"/>
    <x v="0"/>
    <x v="2"/>
    <n v="637.79"/>
  </r>
  <r>
    <n v="303"/>
    <n v="541.09"/>
    <n v="8007"/>
    <s v="Chicago"/>
    <x v="3"/>
    <n v="55"/>
    <x v="0"/>
    <x v="0"/>
    <n v="541.09"/>
  </r>
  <r>
    <n v="302"/>
    <n v="531.82000000000005"/>
    <n v="5951"/>
    <s v="Chicago"/>
    <x v="4"/>
    <n v="27"/>
    <x v="0"/>
    <x v="0"/>
    <n v="531.82000000000005"/>
  </r>
  <r>
    <n v="301"/>
    <n v="52.63"/>
    <n v="43925"/>
    <s v="New York"/>
    <x v="2"/>
    <m/>
    <x v="0"/>
    <x v="4"/>
    <n v="52.63"/>
  </r>
  <r>
    <n v="300"/>
    <n v="86.26"/>
    <n v="36159"/>
    <m/>
    <x v="2"/>
    <n v="49"/>
    <x v="0"/>
    <x v="2"/>
    <n v="86.26"/>
  </r>
  <r>
    <n v="299"/>
    <n v="623.27"/>
    <n v="5415"/>
    <s v="Los Angeles"/>
    <x v="3"/>
    <n v="71"/>
    <x v="0"/>
    <x v="1"/>
    <n v="623.27"/>
  </r>
  <r>
    <n v="298"/>
    <n v="216.61"/>
    <n v="73698"/>
    <s v="Chicago"/>
    <x v="1"/>
    <n v="47"/>
    <x v="1"/>
    <x v="0"/>
    <n v="216.61"/>
  </r>
  <r>
    <n v="297"/>
    <n v="770.22"/>
    <n v="84555"/>
    <s v="Los Angeles"/>
    <x v="0"/>
    <n v="22"/>
    <x v="0"/>
    <x v="1"/>
    <n v="770.22"/>
  </r>
  <r>
    <n v="296"/>
    <n v="522.72"/>
    <n v="65441"/>
    <s v="Chicago"/>
    <x v="2"/>
    <n v="22"/>
    <x v="0"/>
    <x v="0"/>
    <n v="522.72"/>
  </r>
  <r>
    <n v="295"/>
    <n v="127.93"/>
    <n v="70792"/>
    <s v="Miami"/>
    <x v="2"/>
    <n v="75"/>
    <x v="0"/>
    <x v="2"/>
    <n v="127.93"/>
  </r>
  <r>
    <n v="294"/>
    <n v="360.83"/>
    <n v="8567"/>
    <s v="New York"/>
    <x v="1"/>
    <m/>
    <x v="1"/>
    <x v="4"/>
    <n v="360.83"/>
  </r>
  <r>
    <n v="293"/>
    <n v="822.78"/>
    <n v="67444"/>
    <s v="Los Angeles"/>
    <x v="1"/>
    <n v="68"/>
    <x v="0"/>
    <x v="1"/>
    <n v="822.78"/>
  </r>
  <r>
    <n v="292"/>
    <n v="38.31"/>
    <n v="42929"/>
    <s v="Houston"/>
    <x v="2"/>
    <n v="45"/>
    <x v="0"/>
    <x v="3"/>
    <n v="38.31"/>
  </r>
  <r>
    <n v="291"/>
    <n v="31.47"/>
    <n v="235"/>
    <s v="Chicago"/>
    <x v="4"/>
    <n v="68"/>
    <x v="1"/>
    <x v="0"/>
    <n v="31.47"/>
  </r>
  <r>
    <n v="290"/>
    <n v="591.24"/>
    <n v="12219"/>
    <s v="New York"/>
    <x v="1"/>
    <n v="24"/>
    <x v="0"/>
    <x v="4"/>
    <n v="591.24"/>
  </r>
  <r>
    <n v="289"/>
    <n v="287.25"/>
    <n v="83524"/>
    <s v="New York"/>
    <x v="0"/>
    <n v="36"/>
    <x v="0"/>
    <x v="4"/>
    <n v="287.25"/>
  </r>
  <r>
    <n v="288"/>
    <n v="543.1"/>
    <n v="42078"/>
    <s v="Miami"/>
    <x v="0"/>
    <n v="32"/>
    <x v="0"/>
    <x v="2"/>
    <n v="543.1"/>
  </r>
  <r>
    <n v="287"/>
    <n v="466.13"/>
    <n v="36258"/>
    <s v="Miami"/>
    <x v="0"/>
    <n v="69"/>
    <x v="0"/>
    <x v="2"/>
    <n v="466.13"/>
  </r>
  <r>
    <n v="286"/>
    <n v="36.909999999999997"/>
    <n v="26614"/>
    <s v="Chicago"/>
    <x v="0"/>
    <n v="28"/>
    <x v="0"/>
    <x v="0"/>
    <n v="36.909999999999997"/>
  </r>
  <r>
    <n v="285"/>
    <n v="578.70000000000005"/>
    <n v="79767"/>
    <s v="Los Angeles"/>
    <x v="3"/>
    <n v="53"/>
    <x v="0"/>
    <x v="1"/>
    <n v="578.70000000000005"/>
  </r>
  <r>
    <n v="284"/>
    <n v="94.89"/>
    <n v="19216"/>
    <m/>
    <x v="4"/>
    <n v="63"/>
    <x v="0"/>
    <x v="1"/>
    <n v="94.89"/>
  </r>
  <r>
    <n v="283"/>
    <n v="376.21"/>
    <n v="63076"/>
    <s v="New York"/>
    <x v="1"/>
    <n v="48"/>
    <x v="0"/>
    <x v="4"/>
    <n v="376.21"/>
  </r>
  <r>
    <n v="282"/>
    <n v="338.66"/>
    <n v="1342"/>
    <s v="Los Angeles"/>
    <x v="3"/>
    <n v="75"/>
    <x v="0"/>
    <x v="1"/>
    <n v="338.66"/>
  </r>
  <r>
    <n v="281"/>
    <n v="890.12"/>
    <n v="8512"/>
    <s v="New York"/>
    <x v="2"/>
    <n v="57"/>
    <x v="0"/>
    <x v="4"/>
    <n v="890.12"/>
  </r>
  <r>
    <n v="280"/>
    <n v="796"/>
    <n v="34387"/>
    <s v="Los Angeles"/>
    <x v="4"/>
    <n v="38"/>
    <x v="0"/>
    <x v="1"/>
    <n v="796"/>
  </r>
  <r>
    <n v="279"/>
    <n v="702.26"/>
    <n v="5287"/>
    <s v="Chicago"/>
    <x v="0"/>
    <m/>
    <x v="0"/>
    <x v="0"/>
    <n v="702.26"/>
  </r>
  <r>
    <n v="278"/>
    <n v="650.30999999999995"/>
    <n v="39809"/>
    <s v="Los Angeles"/>
    <x v="3"/>
    <n v="22"/>
    <x v="0"/>
    <x v="1"/>
    <n v="650.30999999999995"/>
  </r>
  <r>
    <n v="277"/>
    <n v="798.5"/>
    <n v="2219"/>
    <s v="Miami"/>
    <x v="0"/>
    <n v="34"/>
    <x v="0"/>
    <x v="2"/>
    <n v="798.5"/>
  </r>
  <r>
    <n v="276"/>
    <n v="502.01"/>
    <n v="9865"/>
    <s v="Chicago"/>
    <x v="0"/>
    <n v="41"/>
    <x v="0"/>
    <x v="0"/>
    <n v="502.01"/>
  </r>
  <r>
    <n v="275"/>
    <n v="511.83"/>
    <n v="82180"/>
    <s v="Miami"/>
    <x v="1"/>
    <n v="52"/>
    <x v="0"/>
    <x v="2"/>
    <n v="511.83"/>
  </r>
  <r>
    <n v="274"/>
    <n v="913.33"/>
    <n v="65545"/>
    <s v="Miami"/>
    <x v="3"/>
    <m/>
    <x v="0"/>
    <x v="2"/>
    <n v="913.33"/>
  </r>
  <r>
    <n v="273"/>
    <n v="867.21"/>
    <n v="59383"/>
    <s v="Houston"/>
    <x v="1"/>
    <n v="68"/>
    <x v="0"/>
    <x v="3"/>
    <n v="867.21"/>
  </r>
  <r>
    <n v="272"/>
    <m/>
    <n v="20128"/>
    <s v="Chicago"/>
    <x v="0"/>
    <n v="62"/>
    <x v="0"/>
    <x v="0"/>
    <n v="486.12"/>
  </r>
  <r>
    <n v="271"/>
    <n v="809.55"/>
    <n v="47362"/>
    <s v="Houston"/>
    <x v="3"/>
    <n v="18"/>
    <x v="0"/>
    <x v="3"/>
    <n v="809.55"/>
  </r>
  <r>
    <n v="270"/>
    <n v="294.3"/>
    <n v="32254"/>
    <s v="Houston"/>
    <x v="2"/>
    <n v="60"/>
    <x v="0"/>
    <x v="3"/>
    <n v="294.3"/>
  </r>
  <r>
    <n v="269"/>
    <n v="360.13"/>
    <n v="20618"/>
    <s v="New York"/>
    <x v="2"/>
    <n v="40"/>
    <x v="0"/>
    <x v="4"/>
    <n v="360.13"/>
  </r>
  <r>
    <n v="268"/>
    <n v="702.78"/>
    <n v="1917"/>
    <s v="Los Angeles"/>
    <x v="1"/>
    <m/>
    <x v="0"/>
    <x v="1"/>
    <n v="702.78"/>
  </r>
  <r>
    <n v="267"/>
    <n v="697.32"/>
    <n v="1828"/>
    <s v="Miami"/>
    <x v="4"/>
    <n v="25"/>
    <x v="0"/>
    <x v="2"/>
    <n v="697.32"/>
  </r>
  <r>
    <n v="266"/>
    <n v="741.03"/>
    <n v="42533"/>
    <s v="Chicago"/>
    <x v="3"/>
    <n v="30"/>
    <x v="0"/>
    <x v="0"/>
    <n v="741.03"/>
  </r>
  <r>
    <n v="265"/>
    <n v="877.5"/>
    <n v="78477"/>
    <s v="Houston"/>
    <x v="2"/>
    <n v="25"/>
    <x v="0"/>
    <x v="3"/>
    <n v="877.5"/>
  </r>
  <r>
    <n v="264"/>
    <n v="518.80999999999995"/>
    <n v="67584"/>
    <s v="Chicago"/>
    <x v="4"/>
    <n v="54"/>
    <x v="0"/>
    <x v="0"/>
    <n v="518.80999999999995"/>
  </r>
  <r>
    <n v="263"/>
    <n v="140.94"/>
    <n v="36976"/>
    <s v="Miami"/>
    <x v="1"/>
    <n v="40"/>
    <x v="0"/>
    <x v="2"/>
    <n v="140.94"/>
  </r>
  <r>
    <n v="262"/>
    <n v="990.06"/>
    <n v="45587"/>
    <s v="Miami"/>
    <x v="0"/>
    <n v="18"/>
    <x v="0"/>
    <x v="2"/>
    <n v="990.06"/>
  </r>
  <r>
    <n v="261"/>
    <n v="5162.2172302359304"/>
    <n v="49376"/>
    <s v="Miami"/>
    <x v="3"/>
    <n v="61"/>
    <x v="0"/>
    <x v="2"/>
    <n v="5162.2172302359304"/>
  </r>
  <r>
    <n v="260"/>
    <n v="98.08"/>
    <n v="58067"/>
    <s v="Los Angeles"/>
    <x v="3"/>
    <n v="49"/>
    <x v="1"/>
    <x v="1"/>
    <n v="98.08"/>
  </r>
  <r>
    <n v="259"/>
    <n v="570.49"/>
    <n v="64323"/>
    <s v="Chicago"/>
    <x v="0"/>
    <n v="22"/>
    <x v="0"/>
    <x v="0"/>
    <n v="570.49"/>
  </r>
  <r>
    <n v="258"/>
    <n v="696.33"/>
    <n v="42101"/>
    <s v="Houston"/>
    <x v="3"/>
    <n v="36"/>
    <x v="0"/>
    <x v="3"/>
    <n v="696.33"/>
  </r>
  <r>
    <n v="257"/>
    <n v="936.22"/>
    <n v="30105"/>
    <s v="Houston"/>
    <x v="0"/>
    <n v="62"/>
    <x v="0"/>
    <x v="3"/>
    <n v="936.22"/>
  </r>
  <r>
    <n v="256"/>
    <n v="557.24"/>
    <n v="6469"/>
    <s v="New York"/>
    <x v="0"/>
    <n v="41"/>
    <x v="0"/>
    <x v="4"/>
    <n v="557.24"/>
  </r>
  <r>
    <n v="255"/>
    <n v="170.32"/>
    <n v="46514"/>
    <s v="New York"/>
    <x v="0"/>
    <n v="40"/>
    <x v="0"/>
    <x v="4"/>
    <n v="170.32"/>
  </r>
  <r>
    <n v="254"/>
    <n v="5862.61938473181"/>
    <n v="79239"/>
    <s v="New York"/>
    <x v="0"/>
    <n v="77"/>
    <x v="0"/>
    <x v="4"/>
    <n v="5862.61938473181"/>
  </r>
  <r>
    <n v="253"/>
    <n v="851.29"/>
    <n v="10954"/>
    <s v="Miami"/>
    <x v="2"/>
    <n v="34"/>
    <x v="0"/>
    <x v="2"/>
    <n v="851.29"/>
  </r>
  <r>
    <n v="252"/>
    <n v="385.71"/>
    <n v="846"/>
    <s v="New York"/>
    <x v="2"/>
    <n v="32"/>
    <x v="0"/>
    <x v="4"/>
    <n v="385.71"/>
  </r>
  <r>
    <n v="251"/>
    <n v="295.14999999999998"/>
    <n v="53441"/>
    <s v="New York"/>
    <x v="4"/>
    <n v="66"/>
    <x v="0"/>
    <x v="4"/>
    <n v="295.14999999999998"/>
  </r>
  <r>
    <n v="250"/>
    <n v="853.16"/>
    <n v="13234"/>
    <s v="Miami"/>
    <x v="2"/>
    <n v="25"/>
    <x v="0"/>
    <x v="2"/>
    <n v="853.16"/>
  </r>
  <r>
    <n v="249"/>
    <n v="963.66"/>
    <n v="84471"/>
    <s v="Los Angeles"/>
    <x v="0"/>
    <m/>
    <x v="0"/>
    <x v="1"/>
    <n v="963.66"/>
  </r>
  <r>
    <n v="248"/>
    <n v="966.69"/>
    <n v="117"/>
    <s v="Houston"/>
    <x v="3"/>
    <n v="76"/>
    <x v="0"/>
    <x v="3"/>
    <n v="966.69"/>
  </r>
  <r>
    <n v="247"/>
    <n v="428.76"/>
    <n v="28746"/>
    <s v="Los Angeles"/>
    <x v="3"/>
    <n v="25"/>
    <x v="0"/>
    <x v="1"/>
    <n v="428.76"/>
  </r>
  <r>
    <n v="246"/>
    <n v="928.39"/>
    <n v="79579"/>
    <s v="Miami"/>
    <x v="1"/>
    <n v="51"/>
    <x v="0"/>
    <x v="2"/>
    <n v="928.39"/>
  </r>
  <r>
    <n v="245"/>
    <n v="16.440000000000001"/>
    <n v="41427"/>
    <s v="Chicago"/>
    <x v="0"/>
    <n v="72"/>
    <x v="0"/>
    <x v="0"/>
    <n v="16.440000000000001"/>
  </r>
  <r>
    <n v="244"/>
    <n v="370.79"/>
    <n v="16389"/>
    <s v="New York"/>
    <x v="0"/>
    <n v="28"/>
    <x v="0"/>
    <x v="4"/>
    <n v="370.79"/>
  </r>
  <r>
    <n v="243"/>
    <n v="914.95"/>
    <n v="38110"/>
    <s v="New York"/>
    <x v="4"/>
    <n v="45"/>
    <x v="0"/>
    <x v="4"/>
    <n v="914.95"/>
  </r>
  <r>
    <n v="242"/>
    <n v="953.97"/>
    <n v="9111"/>
    <s v="Miami"/>
    <x v="0"/>
    <n v="38"/>
    <x v="0"/>
    <x v="2"/>
    <n v="953.97"/>
  </r>
  <r>
    <n v="241"/>
    <n v="940.52"/>
    <n v="76323"/>
    <s v="Houston"/>
    <x v="1"/>
    <n v="57"/>
    <x v="0"/>
    <x v="3"/>
    <n v="940.52"/>
  </r>
  <r>
    <n v="240"/>
    <n v="177.93"/>
    <n v="4324"/>
    <s v="New York"/>
    <x v="4"/>
    <m/>
    <x v="0"/>
    <x v="4"/>
    <n v="177.93"/>
  </r>
  <r>
    <n v="239"/>
    <n v="645.83000000000004"/>
    <n v="24818"/>
    <s v="Los Angeles"/>
    <x v="0"/>
    <n v="75"/>
    <x v="0"/>
    <x v="1"/>
    <n v="645.83000000000004"/>
  </r>
  <r>
    <n v="238"/>
    <n v="25.29"/>
    <n v="13046"/>
    <s v="New York"/>
    <x v="2"/>
    <n v="120"/>
    <x v="0"/>
    <x v="4"/>
    <n v="25.29"/>
  </r>
  <r>
    <n v="237"/>
    <n v="281.49"/>
    <n v="27446"/>
    <s v="Houston"/>
    <x v="0"/>
    <n v="27"/>
    <x v="0"/>
    <x v="3"/>
    <n v="281.49"/>
  </r>
  <r>
    <n v="236"/>
    <n v="722.73"/>
    <n v="85655"/>
    <s v="New York"/>
    <x v="2"/>
    <n v="50"/>
    <x v="0"/>
    <x v="4"/>
    <n v="722.73"/>
  </r>
  <r>
    <n v="235"/>
    <n v="196.05"/>
    <n v="13918"/>
    <s v="Houston"/>
    <x v="2"/>
    <n v="46"/>
    <x v="0"/>
    <x v="3"/>
    <n v="196.05"/>
  </r>
  <r>
    <n v="234"/>
    <n v="493.03"/>
    <n v="76125"/>
    <s v="Miami"/>
    <x v="2"/>
    <n v="65"/>
    <x v="0"/>
    <x v="2"/>
    <n v="493.03"/>
  </r>
  <r>
    <n v="233"/>
    <n v="577.33000000000004"/>
    <n v="56138"/>
    <s v="Miami"/>
    <x v="1"/>
    <n v="77"/>
    <x v="0"/>
    <x v="2"/>
    <n v="577.33000000000004"/>
  </r>
  <r>
    <n v="232"/>
    <n v="503.13"/>
    <n v="77149"/>
    <m/>
    <x v="2"/>
    <n v="19"/>
    <x v="0"/>
    <x v="2"/>
    <n v="503.13"/>
  </r>
  <r>
    <n v="231"/>
    <n v="795.02"/>
    <n v="27139"/>
    <s v="Miami"/>
    <x v="0"/>
    <n v="18"/>
    <x v="0"/>
    <x v="2"/>
    <n v="795.02"/>
  </r>
  <r>
    <n v="230"/>
    <n v="631.51"/>
    <n v="72303"/>
    <s v="Houston"/>
    <x v="2"/>
    <n v="58"/>
    <x v="0"/>
    <x v="3"/>
    <n v="631.51"/>
  </r>
  <r>
    <n v="229"/>
    <n v="892.15"/>
    <n v="71158"/>
    <s v="Chicago"/>
    <x v="3"/>
    <n v="26"/>
    <x v="1"/>
    <x v="0"/>
    <n v="892.15"/>
  </r>
  <r>
    <n v="228"/>
    <n v="393.7"/>
    <n v="1605"/>
    <s v="Chicago"/>
    <x v="3"/>
    <n v="73"/>
    <x v="0"/>
    <x v="0"/>
    <n v="393.7"/>
  </r>
  <r>
    <n v="227"/>
    <n v="973.04"/>
    <n v="27285"/>
    <s v="Los Angeles"/>
    <x v="0"/>
    <n v="34"/>
    <x v="0"/>
    <x v="1"/>
    <n v="973.04"/>
  </r>
  <r>
    <n v="226"/>
    <n v="244.75"/>
    <n v="58656"/>
    <s v="Miami"/>
    <x v="3"/>
    <n v="58"/>
    <x v="0"/>
    <x v="2"/>
    <n v="244.75"/>
  </r>
  <r>
    <n v="225"/>
    <n v="265.94"/>
    <n v="28024"/>
    <s v="Miami"/>
    <x v="2"/>
    <n v="66"/>
    <x v="0"/>
    <x v="2"/>
    <n v="265.94"/>
  </r>
  <r>
    <n v="224"/>
    <n v="368.35"/>
    <n v="3812"/>
    <s v="Chicago"/>
    <x v="4"/>
    <n v="30"/>
    <x v="0"/>
    <x v="0"/>
    <n v="368.35"/>
  </r>
  <r>
    <n v="223"/>
    <n v="94.58"/>
    <n v="17260"/>
    <s v="Los Angeles"/>
    <x v="2"/>
    <n v="59"/>
    <x v="1"/>
    <x v="1"/>
    <n v="94.58"/>
  </r>
  <r>
    <n v="222"/>
    <n v="568.74"/>
    <n v="76090"/>
    <s v="Los Angeles"/>
    <x v="2"/>
    <n v="38"/>
    <x v="0"/>
    <x v="1"/>
    <n v="568.74"/>
  </r>
  <r>
    <n v="221"/>
    <n v="657.96"/>
    <n v="75703"/>
    <s v="Chicago"/>
    <x v="4"/>
    <n v="59"/>
    <x v="0"/>
    <x v="0"/>
    <n v="657.96"/>
  </r>
  <r>
    <n v="220"/>
    <m/>
    <n v="34529"/>
    <s v="Los Angeles"/>
    <x v="3"/>
    <n v="55"/>
    <x v="0"/>
    <x v="1"/>
    <n v="557.75363636363636"/>
  </r>
  <r>
    <n v="219"/>
    <n v="649.98"/>
    <n v="48447"/>
    <m/>
    <x v="4"/>
    <m/>
    <x v="0"/>
    <x v="1"/>
    <n v="649.98"/>
  </r>
  <r>
    <n v="218"/>
    <n v="746.74"/>
    <n v="54553"/>
    <s v="Los Angeles"/>
    <x v="4"/>
    <n v="69"/>
    <x v="0"/>
    <x v="1"/>
    <n v="746.74"/>
  </r>
  <r>
    <n v="217"/>
    <n v="326.07"/>
    <n v="84659"/>
    <s v="Miami"/>
    <x v="2"/>
    <n v="46"/>
    <x v="0"/>
    <x v="2"/>
    <n v="326.07"/>
  </r>
  <r>
    <n v="216"/>
    <n v="238.01"/>
    <n v="62981"/>
    <s v="New York"/>
    <x v="1"/>
    <n v="58"/>
    <x v="0"/>
    <x v="4"/>
    <n v="238.01"/>
  </r>
  <r>
    <n v="215"/>
    <n v="712.47"/>
    <n v="60004"/>
    <s v="Los Angeles"/>
    <x v="0"/>
    <n v="52"/>
    <x v="0"/>
    <x v="1"/>
    <n v="712.47"/>
  </r>
  <r>
    <n v="214"/>
    <n v="225.05"/>
    <n v="81449"/>
    <s v="Miami"/>
    <x v="3"/>
    <n v="57"/>
    <x v="1"/>
    <x v="2"/>
    <n v="225.05"/>
  </r>
  <r>
    <n v="213"/>
    <n v="652.30999999999995"/>
    <n v="72274"/>
    <s v="New York"/>
    <x v="2"/>
    <n v="35"/>
    <x v="1"/>
    <x v="4"/>
    <n v="652.30999999999995"/>
  </r>
  <r>
    <n v="212"/>
    <n v="692.2"/>
    <n v="23275"/>
    <s v="Miami"/>
    <x v="0"/>
    <n v="77"/>
    <x v="0"/>
    <x v="2"/>
    <n v="692.2"/>
  </r>
  <r>
    <n v="211"/>
    <m/>
    <n v="81264"/>
    <s v="Houston"/>
    <x v="2"/>
    <n v="65"/>
    <x v="0"/>
    <x v="3"/>
    <n v="510.41857142857151"/>
  </r>
  <r>
    <n v="210"/>
    <n v="161.65"/>
    <n v="77735"/>
    <s v="New York"/>
    <x v="1"/>
    <m/>
    <x v="0"/>
    <x v="4"/>
    <n v="161.65"/>
  </r>
  <r>
    <n v="209"/>
    <n v="6.06"/>
    <n v="73479"/>
    <s v="Houston"/>
    <x v="1"/>
    <n v="51"/>
    <x v="0"/>
    <x v="3"/>
    <n v="6.06"/>
  </r>
  <r>
    <n v="208"/>
    <n v="663.84"/>
    <n v="12910"/>
    <m/>
    <x v="2"/>
    <n v="21"/>
    <x v="1"/>
    <x v="4"/>
    <n v="663.84"/>
  </r>
  <r>
    <n v="207"/>
    <m/>
    <n v="79905"/>
    <s v="Chicago"/>
    <x v="3"/>
    <n v="5"/>
    <x v="0"/>
    <x v="0"/>
    <n v="585.44833333333338"/>
  </r>
  <r>
    <n v="206"/>
    <n v="10.19"/>
    <n v="26069"/>
    <s v="Miami"/>
    <x v="4"/>
    <n v="43"/>
    <x v="0"/>
    <x v="2"/>
    <n v="10.19"/>
  </r>
  <r>
    <n v="205"/>
    <n v="606.82000000000005"/>
    <n v="6371"/>
    <s v="Chicago"/>
    <x v="2"/>
    <n v="70"/>
    <x v="0"/>
    <x v="0"/>
    <n v="606.82000000000005"/>
  </r>
  <r>
    <n v="204"/>
    <n v="898.66"/>
    <n v="26734"/>
    <s v="Los Angeles"/>
    <x v="4"/>
    <n v="72"/>
    <x v="0"/>
    <x v="1"/>
    <n v="898.66"/>
  </r>
  <r>
    <n v="203"/>
    <n v="162.47"/>
    <n v="82152"/>
    <s v="Miami"/>
    <x v="1"/>
    <n v="120"/>
    <x v="1"/>
    <x v="2"/>
    <n v="162.47"/>
  </r>
  <r>
    <n v="202"/>
    <n v="85.06"/>
    <n v="73794"/>
    <s v="Houston"/>
    <x v="0"/>
    <n v="38"/>
    <x v="0"/>
    <x v="3"/>
    <n v="85.06"/>
  </r>
  <r>
    <n v="201"/>
    <n v="642.39"/>
    <n v="7561"/>
    <s v="Houston"/>
    <x v="0"/>
    <n v="28"/>
    <x v="0"/>
    <x v="3"/>
    <n v="642.39"/>
  </r>
  <r>
    <n v="200"/>
    <n v="780.1"/>
    <n v="6168"/>
    <s v="Chicago"/>
    <x v="3"/>
    <n v="77"/>
    <x v="0"/>
    <x v="0"/>
    <n v="780.1"/>
  </r>
  <r>
    <n v="199"/>
    <n v="887.2"/>
    <n v="3596"/>
    <s v="New York"/>
    <x v="1"/>
    <n v="66"/>
    <x v="0"/>
    <x v="4"/>
    <n v="887.2"/>
  </r>
  <r>
    <n v="198"/>
    <n v="897.21"/>
    <n v="4632"/>
    <s v="Los Angeles"/>
    <x v="3"/>
    <n v="52"/>
    <x v="0"/>
    <x v="1"/>
    <n v="897.21"/>
  </r>
  <r>
    <n v="197"/>
    <n v="726.23"/>
    <n v="47915"/>
    <s v="Chicago"/>
    <x v="3"/>
    <n v="34"/>
    <x v="0"/>
    <x v="0"/>
    <n v="726.23"/>
  </r>
  <r>
    <n v="196"/>
    <n v="349.86"/>
    <n v="56793"/>
    <s v="Los Angeles"/>
    <x v="1"/>
    <n v="53"/>
    <x v="0"/>
    <x v="1"/>
    <n v="349.86"/>
  </r>
  <r>
    <n v="195"/>
    <m/>
    <n v="6229"/>
    <s v="Chicago"/>
    <x v="0"/>
    <n v="49"/>
    <x v="0"/>
    <x v="0"/>
    <n v="486.12"/>
  </r>
  <r>
    <n v="194"/>
    <n v="633.47"/>
    <n v="50448"/>
    <s v="Houston"/>
    <x v="3"/>
    <n v="62"/>
    <x v="0"/>
    <x v="3"/>
    <n v="633.47"/>
  </r>
  <r>
    <n v="193"/>
    <n v="900.52"/>
    <n v="1062"/>
    <s v="Los Angeles"/>
    <x v="2"/>
    <n v="54"/>
    <x v="0"/>
    <x v="1"/>
    <n v="900.52"/>
  </r>
  <r>
    <n v="192"/>
    <n v="897.32"/>
    <n v="10267"/>
    <s v="Miami"/>
    <x v="4"/>
    <m/>
    <x v="0"/>
    <x v="2"/>
    <n v="897.32"/>
  </r>
  <r>
    <n v="191"/>
    <n v="94.01"/>
    <n v="38518"/>
    <s v="Chicago"/>
    <x v="3"/>
    <m/>
    <x v="0"/>
    <x v="0"/>
    <n v="94.01"/>
  </r>
  <r>
    <n v="190"/>
    <n v="242.61"/>
    <n v="73688"/>
    <s v="Los Angeles"/>
    <x v="0"/>
    <n v="38"/>
    <x v="0"/>
    <x v="1"/>
    <n v="242.61"/>
  </r>
  <r>
    <n v="189"/>
    <n v="530.12"/>
    <n v="46271"/>
    <s v="Chicago"/>
    <x v="2"/>
    <n v="62"/>
    <x v="0"/>
    <x v="0"/>
    <n v="530.12"/>
  </r>
  <r>
    <n v="188"/>
    <n v="555.65"/>
    <n v="35854"/>
    <s v="New York"/>
    <x v="2"/>
    <n v="67"/>
    <x v="0"/>
    <x v="4"/>
    <n v="555.65"/>
  </r>
  <r>
    <n v="187"/>
    <n v="817.4"/>
    <n v="34674"/>
    <s v="Miami"/>
    <x v="4"/>
    <n v="43"/>
    <x v="0"/>
    <x v="2"/>
    <n v="817.4"/>
  </r>
  <r>
    <n v="186"/>
    <n v="660.32"/>
    <n v="67067"/>
    <s v="Los Angeles"/>
    <x v="3"/>
    <n v="38"/>
    <x v="0"/>
    <x v="1"/>
    <n v="660.32"/>
  </r>
  <r>
    <n v="185"/>
    <n v="258.68"/>
    <n v="38638"/>
    <s v="Miami"/>
    <x v="1"/>
    <n v="30"/>
    <x v="0"/>
    <x v="2"/>
    <n v="258.68"/>
  </r>
  <r>
    <n v="184"/>
    <n v="877.46"/>
    <n v="55658"/>
    <s v="Los Angeles"/>
    <x v="4"/>
    <n v="18"/>
    <x v="0"/>
    <x v="1"/>
    <n v="877.46"/>
  </r>
  <r>
    <n v="183"/>
    <n v="924.77"/>
    <n v="84717"/>
    <m/>
    <x v="4"/>
    <n v="22"/>
    <x v="0"/>
    <x v="1"/>
    <n v="924.77"/>
  </r>
  <r>
    <n v="182"/>
    <m/>
    <n v="82838"/>
    <s v="Los Angeles"/>
    <x v="4"/>
    <n v="56"/>
    <x v="0"/>
    <x v="1"/>
    <n v="533.33758620689673"/>
  </r>
  <r>
    <n v="181"/>
    <n v="341.73"/>
    <n v="18030"/>
    <s v="Los Angeles"/>
    <x v="0"/>
    <n v="73"/>
    <x v="0"/>
    <x v="1"/>
    <n v="341.73"/>
  </r>
  <r>
    <n v="180"/>
    <n v="138.38"/>
    <n v="5122"/>
    <s v="Miami"/>
    <x v="0"/>
    <n v="75"/>
    <x v="0"/>
    <x v="2"/>
    <n v="138.38"/>
  </r>
  <r>
    <n v="179"/>
    <n v="936.79"/>
    <n v="5126"/>
    <s v="New York"/>
    <x v="3"/>
    <n v="40"/>
    <x v="0"/>
    <x v="4"/>
    <n v="936.79"/>
  </r>
  <r>
    <n v="178"/>
    <n v="387.35"/>
    <n v="15034"/>
    <s v="Los Angeles"/>
    <x v="4"/>
    <n v="27"/>
    <x v="0"/>
    <x v="1"/>
    <n v="387.35"/>
  </r>
  <r>
    <n v="177"/>
    <n v="691.25"/>
    <n v="4621"/>
    <s v="Chicago"/>
    <x v="3"/>
    <n v="38"/>
    <x v="0"/>
    <x v="0"/>
    <n v="691.25"/>
  </r>
  <r>
    <n v="176"/>
    <n v="175.19"/>
    <n v="16748"/>
    <m/>
    <x v="3"/>
    <n v="32"/>
    <x v="0"/>
    <x v="3"/>
    <n v="175.19"/>
  </r>
  <r>
    <n v="175"/>
    <n v="645.53"/>
    <n v="44247"/>
    <s v="New York"/>
    <x v="1"/>
    <n v="55"/>
    <x v="0"/>
    <x v="4"/>
    <n v="645.53"/>
  </r>
  <r>
    <n v="174"/>
    <n v="227.27"/>
    <n v="67661"/>
    <s v="Los Angeles"/>
    <x v="0"/>
    <n v="71"/>
    <x v="0"/>
    <x v="1"/>
    <n v="227.27"/>
  </r>
  <r>
    <n v="173"/>
    <n v="512.58000000000004"/>
    <n v="73686"/>
    <s v="New York"/>
    <x v="4"/>
    <n v="38"/>
    <x v="0"/>
    <x v="4"/>
    <n v="512.58000000000004"/>
  </r>
  <r>
    <n v="172"/>
    <n v="17.57"/>
    <n v="28699"/>
    <s v="Miami"/>
    <x v="4"/>
    <n v="44"/>
    <x v="0"/>
    <x v="2"/>
    <n v="17.57"/>
  </r>
  <r>
    <n v="171"/>
    <n v="677.89"/>
    <n v="8717"/>
    <s v="New York"/>
    <x v="0"/>
    <n v="79"/>
    <x v="0"/>
    <x v="4"/>
    <n v="677.89"/>
  </r>
  <r>
    <n v="170"/>
    <n v="591.29999999999995"/>
    <n v="55"/>
    <s v="Miami"/>
    <x v="0"/>
    <n v="19"/>
    <x v="0"/>
    <x v="2"/>
    <n v="591.29999999999995"/>
  </r>
  <r>
    <n v="169"/>
    <n v="41.73"/>
    <n v="82558"/>
    <s v="Chicago"/>
    <x v="4"/>
    <n v="72"/>
    <x v="0"/>
    <x v="0"/>
    <n v="41.73"/>
  </r>
  <r>
    <n v="168"/>
    <n v="187.33"/>
    <n v="302"/>
    <s v="Houston"/>
    <x v="1"/>
    <n v="79"/>
    <x v="0"/>
    <x v="3"/>
    <n v="187.33"/>
  </r>
  <r>
    <n v="167"/>
    <n v="321.45999999999998"/>
    <n v="50428"/>
    <s v="New York"/>
    <x v="4"/>
    <n v="22"/>
    <x v="0"/>
    <x v="4"/>
    <n v="321.45999999999998"/>
  </r>
  <r>
    <n v="166"/>
    <n v="835.47"/>
    <n v="79714"/>
    <s v="New York"/>
    <x v="3"/>
    <n v="39"/>
    <x v="0"/>
    <x v="4"/>
    <n v="835.47"/>
  </r>
  <r>
    <n v="165"/>
    <n v="91.2"/>
    <n v="59399"/>
    <s v="Los Angeles"/>
    <x v="0"/>
    <n v="78"/>
    <x v="0"/>
    <x v="1"/>
    <n v="91.2"/>
  </r>
  <r>
    <n v="164"/>
    <n v="536.24"/>
    <n v="79104"/>
    <s v="New York"/>
    <x v="0"/>
    <n v="54"/>
    <x v="0"/>
    <x v="4"/>
    <n v="536.24"/>
  </r>
  <r>
    <n v="163"/>
    <n v="633.9"/>
    <n v="64291"/>
    <s v="Miami"/>
    <x v="4"/>
    <n v="24"/>
    <x v="0"/>
    <x v="2"/>
    <n v="633.9"/>
  </r>
  <r>
    <n v="162"/>
    <n v="632.66999999999996"/>
    <n v="4432"/>
    <s v="New York"/>
    <x v="2"/>
    <n v="31"/>
    <x v="0"/>
    <x v="4"/>
    <n v="632.66999999999996"/>
  </r>
  <r>
    <n v="161"/>
    <n v="368.42"/>
    <n v="52796"/>
    <s v="Chicago"/>
    <x v="3"/>
    <n v="39"/>
    <x v="0"/>
    <x v="0"/>
    <n v="368.42"/>
  </r>
  <r>
    <n v="160"/>
    <n v="728.49"/>
    <n v="19262"/>
    <s v="Chicago"/>
    <x v="2"/>
    <n v="45"/>
    <x v="0"/>
    <x v="0"/>
    <n v="728.49"/>
  </r>
  <r>
    <n v="159"/>
    <n v="238.4"/>
    <n v="55645"/>
    <s v="Houston"/>
    <x v="1"/>
    <n v="44"/>
    <x v="0"/>
    <x v="3"/>
    <n v="238.4"/>
  </r>
  <r>
    <n v="158"/>
    <n v="761.86"/>
    <n v="10478"/>
    <s v="Miami"/>
    <x v="2"/>
    <n v="24"/>
    <x v="0"/>
    <x v="2"/>
    <n v="761.86"/>
  </r>
  <r>
    <n v="157"/>
    <n v="672.46"/>
    <n v="43221"/>
    <s v="Chicago"/>
    <x v="1"/>
    <n v="52"/>
    <x v="0"/>
    <x v="0"/>
    <n v="672.46"/>
  </r>
  <r>
    <n v="156"/>
    <n v="242.81"/>
    <n v="5240"/>
    <s v="Houston"/>
    <x v="3"/>
    <n v="78"/>
    <x v="0"/>
    <x v="3"/>
    <n v="242.81"/>
  </r>
  <r>
    <n v="155"/>
    <n v="985.66"/>
    <n v="22574"/>
    <s v="Los Angeles"/>
    <x v="4"/>
    <n v="79"/>
    <x v="0"/>
    <x v="1"/>
    <n v="985.66"/>
  </r>
  <r>
    <n v="154"/>
    <n v="489.96"/>
    <n v="10488"/>
    <s v="Chicago"/>
    <x v="4"/>
    <n v="69"/>
    <x v="0"/>
    <x v="0"/>
    <n v="489.96"/>
  </r>
  <r>
    <n v="153"/>
    <m/>
    <n v="23321"/>
    <s v="Houston"/>
    <x v="0"/>
    <n v="54"/>
    <x v="0"/>
    <x v="3"/>
    <n v="344.73066666666659"/>
  </r>
  <r>
    <n v="152"/>
    <n v="240.32"/>
    <n v="23624"/>
    <s v="Houston"/>
    <x v="3"/>
    <n v="67"/>
    <x v="0"/>
    <x v="3"/>
    <n v="240.32"/>
  </r>
  <r>
    <n v="151"/>
    <n v="908.36"/>
    <n v="81818"/>
    <s v="Miami"/>
    <x v="3"/>
    <n v="56"/>
    <x v="0"/>
    <x v="2"/>
    <n v="908.36"/>
  </r>
  <r>
    <n v="150"/>
    <n v="279.37"/>
    <n v="51745"/>
    <s v="Los Angeles"/>
    <x v="1"/>
    <n v="55"/>
    <x v="0"/>
    <x v="1"/>
    <n v="279.37"/>
  </r>
  <r>
    <n v="149"/>
    <n v="52.43"/>
    <n v="18777"/>
    <s v="Chicago"/>
    <x v="2"/>
    <n v="77"/>
    <x v="1"/>
    <x v="0"/>
    <n v="52.43"/>
  </r>
  <r>
    <n v="148"/>
    <n v="503.18"/>
    <n v="16907"/>
    <s v="Chicago"/>
    <x v="4"/>
    <n v="53"/>
    <x v="0"/>
    <x v="0"/>
    <n v="503.18"/>
  </r>
  <r>
    <n v="147"/>
    <n v="609.95000000000005"/>
    <n v="39749"/>
    <s v="New York"/>
    <x v="0"/>
    <n v="69"/>
    <x v="0"/>
    <x v="4"/>
    <n v="609.95000000000005"/>
  </r>
  <r>
    <n v="146"/>
    <n v="37.85"/>
    <n v="79252"/>
    <s v="Los Angeles"/>
    <x v="0"/>
    <n v="46"/>
    <x v="0"/>
    <x v="1"/>
    <n v="37.85"/>
  </r>
  <r>
    <n v="145"/>
    <n v="285.56"/>
    <n v="23061"/>
    <s v="Chicago"/>
    <x v="1"/>
    <n v="69"/>
    <x v="0"/>
    <x v="0"/>
    <n v="285.56"/>
  </r>
  <r>
    <n v="144"/>
    <n v="301.58"/>
    <n v="36668"/>
    <s v="Miami"/>
    <x v="0"/>
    <n v="77"/>
    <x v="0"/>
    <x v="2"/>
    <n v="301.58"/>
  </r>
  <r>
    <n v="143"/>
    <n v="497.75"/>
    <n v="57108"/>
    <m/>
    <x v="2"/>
    <n v="56"/>
    <x v="0"/>
    <x v="2"/>
    <n v="497.75"/>
  </r>
  <r>
    <n v="142"/>
    <n v="252.53"/>
    <n v="23954"/>
    <m/>
    <x v="4"/>
    <n v="54"/>
    <x v="0"/>
    <x v="1"/>
    <n v="252.53"/>
  </r>
  <r>
    <n v="141"/>
    <n v="962.48"/>
    <n v="11314"/>
    <s v="New York"/>
    <x v="0"/>
    <n v="34"/>
    <x v="0"/>
    <x v="4"/>
    <n v="962.48"/>
  </r>
  <r>
    <n v="140"/>
    <n v="971.81"/>
    <n v="28732"/>
    <s v="New York"/>
    <x v="3"/>
    <n v="57"/>
    <x v="0"/>
    <x v="4"/>
    <n v="971.81"/>
  </r>
  <r>
    <n v="139"/>
    <n v="364.27"/>
    <n v="75697"/>
    <s v="New York"/>
    <x v="4"/>
    <n v="56"/>
    <x v="0"/>
    <x v="4"/>
    <n v="364.27"/>
  </r>
  <r>
    <n v="138"/>
    <n v="703.32"/>
    <n v="69724"/>
    <s v="Miami"/>
    <x v="0"/>
    <n v="21"/>
    <x v="0"/>
    <x v="2"/>
    <n v="703.32"/>
  </r>
  <r>
    <n v="137"/>
    <n v="519.27"/>
    <n v="33434"/>
    <s v="Los Angeles"/>
    <x v="3"/>
    <n v="21"/>
    <x v="0"/>
    <x v="1"/>
    <n v="519.27"/>
  </r>
  <r>
    <n v="136"/>
    <n v="323.88"/>
    <n v="83807"/>
    <s v="Los Angeles"/>
    <x v="3"/>
    <n v="50"/>
    <x v="0"/>
    <x v="1"/>
    <n v="323.88"/>
  </r>
  <r>
    <n v="135"/>
    <n v="942.97"/>
    <n v="41240"/>
    <s v="New York"/>
    <x v="3"/>
    <n v="77"/>
    <x v="0"/>
    <x v="4"/>
    <n v="942.97"/>
  </r>
  <r>
    <n v="134"/>
    <n v="338.28"/>
    <n v="58243"/>
    <s v="Los Angeles"/>
    <x v="2"/>
    <n v="33"/>
    <x v="0"/>
    <x v="1"/>
    <n v="338.28"/>
  </r>
  <r>
    <n v="133"/>
    <n v="120.75"/>
    <n v="24071"/>
    <s v="Chicago"/>
    <x v="4"/>
    <n v="33"/>
    <x v="0"/>
    <x v="0"/>
    <n v="120.75"/>
  </r>
  <r>
    <n v="132"/>
    <n v="222.89"/>
    <n v="22415"/>
    <s v="Miami"/>
    <x v="2"/>
    <n v="24"/>
    <x v="0"/>
    <x v="2"/>
    <n v="222.89"/>
  </r>
  <r>
    <n v="131"/>
    <n v="417.99"/>
    <n v="11637"/>
    <s v="Chicago"/>
    <x v="4"/>
    <n v="68"/>
    <x v="0"/>
    <x v="0"/>
    <n v="417.99"/>
  </r>
  <r>
    <n v="130"/>
    <n v="511.24"/>
    <n v="6090"/>
    <m/>
    <x v="2"/>
    <n v="63"/>
    <x v="0"/>
    <x v="2"/>
    <n v="511.24"/>
  </r>
  <r>
    <n v="129"/>
    <m/>
    <n v="71774"/>
    <s v="Chicago"/>
    <x v="1"/>
    <n v="79"/>
    <x v="0"/>
    <x v="0"/>
    <n v="1308.6254845888443"/>
  </r>
  <r>
    <n v="128"/>
    <n v="860.87"/>
    <n v="80719"/>
    <s v="Houston"/>
    <x v="0"/>
    <n v="45"/>
    <x v="1"/>
    <x v="3"/>
    <n v="860.87"/>
  </r>
  <r>
    <n v="127"/>
    <n v="818.2"/>
    <n v="24214"/>
    <s v="Chicago"/>
    <x v="3"/>
    <n v="26"/>
    <x v="0"/>
    <x v="0"/>
    <n v="818.2"/>
  </r>
  <r>
    <n v="126"/>
    <n v="427.68"/>
    <n v="17144"/>
    <s v="Chicago"/>
    <x v="2"/>
    <n v="38"/>
    <x v="0"/>
    <x v="0"/>
    <n v="427.68"/>
  </r>
  <r>
    <n v="125"/>
    <n v="228.71"/>
    <n v="6254"/>
    <s v="Houston"/>
    <x v="3"/>
    <n v="52"/>
    <x v="0"/>
    <x v="3"/>
    <n v="228.71"/>
  </r>
  <r>
    <n v="124"/>
    <n v="8694.3333856651607"/>
    <n v="45002"/>
    <s v="Houston"/>
    <x v="1"/>
    <n v="26"/>
    <x v="0"/>
    <x v="3"/>
    <n v="8694.3333856651607"/>
  </r>
  <r>
    <n v="123"/>
    <n v="318.69"/>
    <n v="12015"/>
    <s v="Los Angeles"/>
    <x v="4"/>
    <n v="36"/>
    <x v="0"/>
    <x v="1"/>
    <n v="318.69"/>
  </r>
  <r>
    <n v="122"/>
    <n v="896.2"/>
    <n v="36586"/>
    <s v="New York"/>
    <x v="3"/>
    <n v="40"/>
    <x v="0"/>
    <x v="4"/>
    <n v="896.2"/>
  </r>
  <r>
    <n v="121"/>
    <n v="7839.8714865804004"/>
    <n v="69836"/>
    <s v="Miami"/>
    <x v="2"/>
    <n v="26"/>
    <x v="0"/>
    <x v="2"/>
    <n v="7839.8714865804004"/>
  </r>
  <r>
    <n v="120"/>
    <n v="539.79999999999995"/>
    <n v="5569"/>
    <s v="Los Angeles"/>
    <x v="1"/>
    <n v="32"/>
    <x v="1"/>
    <x v="1"/>
    <n v="539.79999999999995"/>
  </r>
  <r>
    <n v="119"/>
    <n v="892.67"/>
    <n v="14388"/>
    <s v="Chicago"/>
    <x v="1"/>
    <n v="73"/>
    <x v="0"/>
    <x v="0"/>
    <n v="892.67"/>
  </r>
  <r>
    <n v="118"/>
    <n v="187.38"/>
    <n v="73477"/>
    <s v="Chicago"/>
    <x v="2"/>
    <n v="48"/>
    <x v="0"/>
    <x v="0"/>
    <n v="187.38"/>
  </r>
  <r>
    <n v="117"/>
    <n v="803.87"/>
    <n v="55123"/>
    <s v="New York"/>
    <x v="4"/>
    <n v="78"/>
    <x v="0"/>
    <x v="4"/>
    <n v="803.87"/>
  </r>
  <r>
    <n v="116"/>
    <n v="871.59"/>
    <n v="19963"/>
    <s v="Houston"/>
    <x v="2"/>
    <n v="67"/>
    <x v="0"/>
    <x v="3"/>
    <n v="871.59"/>
  </r>
  <r>
    <n v="115"/>
    <m/>
    <n v="85392"/>
    <s v="Chicago"/>
    <x v="2"/>
    <n v="28"/>
    <x v="0"/>
    <x v="0"/>
    <n v="463.83699999999999"/>
  </r>
  <r>
    <n v="114"/>
    <n v="808.31"/>
    <n v="55479"/>
    <s v="Chicago"/>
    <x v="4"/>
    <n v="79"/>
    <x v="0"/>
    <x v="0"/>
    <n v="808.31"/>
  </r>
  <r>
    <n v="113"/>
    <n v="929.77"/>
    <n v="39811"/>
    <s v="Miami"/>
    <x v="2"/>
    <n v="19"/>
    <x v="1"/>
    <x v="2"/>
    <n v="929.77"/>
  </r>
  <r>
    <n v="112"/>
    <n v="162.06"/>
    <n v="43088"/>
    <s v="Miami"/>
    <x v="3"/>
    <n v="42"/>
    <x v="0"/>
    <x v="2"/>
    <n v="162.06"/>
  </r>
  <r>
    <n v="111"/>
    <n v="290.45999999999998"/>
    <n v="52329"/>
    <s v="Los Angeles"/>
    <x v="2"/>
    <n v="27"/>
    <x v="0"/>
    <x v="1"/>
    <n v="290.45999999999998"/>
  </r>
  <r>
    <n v="110"/>
    <n v="77.900000000000006"/>
    <n v="70390"/>
    <s v="Chicago"/>
    <x v="4"/>
    <n v="51"/>
    <x v="0"/>
    <x v="0"/>
    <n v="77.900000000000006"/>
  </r>
  <r>
    <n v="109"/>
    <n v="229.57"/>
    <n v="70173"/>
    <s v="Houston"/>
    <x v="0"/>
    <n v="36"/>
    <x v="0"/>
    <x v="3"/>
    <n v="229.57"/>
  </r>
  <r>
    <n v="108"/>
    <n v="755.8"/>
    <n v="42318"/>
    <s v="Miami"/>
    <x v="1"/>
    <n v="22"/>
    <x v="0"/>
    <x v="2"/>
    <n v="755.8"/>
  </r>
  <r>
    <n v="107"/>
    <n v="410.97"/>
    <n v="56800"/>
    <s v="Chicago"/>
    <x v="0"/>
    <n v="68"/>
    <x v="0"/>
    <x v="0"/>
    <n v="410.97"/>
  </r>
  <r>
    <n v="106"/>
    <n v="250.04"/>
    <n v="53413"/>
    <s v="New York"/>
    <x v="2"/>
    <n v="48"/>
    <x v="0"/>
    <x v="4"/>
    <n v="250.04"/>
  </r>
  <r>
    <n v="105"/>
    <n v="907.66"/>
    <n v="83251"/>
    <s v="Chicago"/>
    <x v="4"/>
    <n v="36"/>
    <x v="0"/>
    <x v="0"/>
    <n v="907.66"/>
  </r>
  <r>
    <n v="104"/>
    <n v="509.06"/>
    <n v="75745"/>
    <s v="Houston"/>
    <x v="4"/>
    <n v="40"/>
    <x v="0"/>
    <x v="3"/>
    <n v="509.06"/>
  </r>
  <r>
    <n v="103"/>
    <n v="315.04000000000002"/>
    <n v="61886"/>
    <s v="Los Angeles"/>
    <x v="4"/>
    <n v="77"/>
    <x v="0"/>
    <x v="1"/>
    <n v="315.04000000000002"/>
  </r>
  <r>
    <n v="102"/>
    <n v="636.77"/>
    <n v="23386"/>
    <s v="Los Angeles"/>
    <x v="4"/>
    <n v="19"/>
    <x v="0"/>
    <x v="1"/>
    <n v="636.77"/>
  </r>
  <r>
    <n v="101"/>
    <n v="32.4"/>
    <n v="25934"/>
    <s v="Houston"/>
    <x v="4"/>
    <n v="79"/>
    <x v="0"/>
    <x v="3"/>
    <n v="32.4"/>
  </r>
  <r>
    <n v="100"/>
    <n v="108.78"/>
    <n v="6941"/>
    <s v="Miami"/>
    <x v="3"/>
    <n v="60"/>
    <x v="0"/>
    <x v="2"/>
    <n v="108.78"/>
  </r>
  <r>
    <n v="99"/>
    <n v="26.39"/>
    <n v="73553"/>
    <s v="Los Angeles"/>
    <x v="4"/>
    <n v="46"/>
    <x v="0"/>
    <x v="1"/>
    <n v="26.39"/>
  </r>
  <r>
    <n v="98"/>
    <n v="428.11"/>
    <n v="55393"/>
    <m/>
    <x v="3"/>
    <n v="49"/>
    <x v="0"/>
    <x v="3"/>
    <n v="428.11"/>
  </r>
  <r>
    <n v="97"/>
    <n v="523.21"/>
    <n v="6949"/>
    <s v="Miami"/>
    <x v="2"/>
    <n v="23"/>
    <x v="0"/>
    <x v="2"/>
    <n v="523.21"/>
  </r>
  <r>
    <n v="96"/>
    <n v="494.3"/>
    <n v="78587"/>
    <s v="Los Angeles"/>
    <x v="3"/>
    <n v="77"/>
    <x v="0"/>
    <x v="1"/>
    <n v="494.3"/>
  </r>
  <r>
    <n v="95"/>
    <m/>
    <n v="65215"/>
    <s v="Miami"/>
    <x v="0"/>
    <n v="46"/>
    <x v="0"/>
    <x v="2"/>
    <n v="956.36244346902424"/>
  </r>
  <r>
    <n v="94"/>
    <n v="561.72"/>
    <n v="81317"/>
    <s v="New York"/>
    <x v="4"/>
    <n v="35"/>
    <x v="0"/>
    <x v="4"/>
    <n v="561.72"/>
  </r>
  <r>
    <n v="93"/>
    <n v="761.02"/>
    <n v="59494"/>
    <s v="Miami"/>
    <x v="0"/>
    <n v="37"/>
    <x v="0"/>
    <x v="2"/>
    <n v="761.02"/>
  </r>
  <r>
    <n v="92"/>
    <n v="713.53"/>
    <n v="53682"/>
    <m/>
    <x v="3"/>
    <n v="31"/>
    <x v="0"/>
    <x v="3"/>
    <n v="713.53"/>
  </r>
  <r>
    <n v="91"/>
    <n v="120.47"/>
    <n v="37441"/>
    <s v="Los Angeles"/>
    <x v="3"/>
    <n v="48"/>
    <x v="0"/>
    <x v="1"/>
    <n v="120.47"/>
  </r>
  <r>
    <n v="90"/>
    <n v="472.74"/>
    <n v="77709"/>
    <s v="Chicago"/>
    <x v="1"/>
    <n v="30"/>
    <x v="0"/>
    <x v="0"/>
    <n v="472.74"/>
  </r>
  <r>
    <n v="89"/>
    <m/>
    <n v="39764"/>
    <s v="New York"/>
    <x v="1"/>
    <m/>
    <x v="1"/>
    <x v="4"/>
    <n v="360.83"/>
  </r>
  <r>
    <n v="88"/>
    <n v="637.91999999999996"/>
    <n v="1252"/>
    <s v="Chicago"/>
    <x v="2"/>
    <n v="49"/>
    <x v="0"/>
    <x v="0"/>
    <n v="637.91999999999996"/>
  </r>
  <r>
    <n v="87"/>
    <n v="729.88"/>
    <n v="44238"/>
    <s v="Miami"/>
    <x v="4"/>
    <n v="49"/>
    <x v="0"/>
    <x v="2"/>
    <n v="729.88"/>
  </r>
  <r>
    <n v="86"/>
    <n v="325.86"/>
    <n v="15254"/>
    <s v="Los Angeles"/>
    <x v="1"/>
    <n v="29"/>
    <x v="0"/>
    <x v="1"/>
    <n v="325.86"/>
  </r>
  <r>
    <n v="85"/>
    <n v="311.67"/>
    <n v="19758"/>
    <s v="Miami"/>
    <x v="1"/>
    <n v="77"/>
    <x v="0"/>
    <x v="2"/>
    <n v="311.67"/>
  </r>
  <r>
    <n v="84"/>
    <n v="64.489999999999995"/>
    <n v="19198"/>
    <s v="Houston"/>
    <x v="0"/>
    <n v="62"/>
    <x v="0"/>
    <x v="3"/>
    <n v="64.489999999999995"/>
  </r>
  <r>
    <n v="83"/>
    <n v="331.57"/>
    <n v="53871"/>
    <s v="Los Angeles"/>
    <x v="3"/>
    <n v="21"/>
    <x v="0"/>
    <x v="1"/>
    <n v="331.57"/>
  </r>
  <r>
    <n v="82"/>
    <n v="623.66999999999996"/>
    <n v="42808"/>
    <s v="New York"/>
    <x v="1"/>
    <n v="32"/>
    <x v="0"/>
    <x v="4"/>
    <n v="623.66999999999996"/>
  </r>
  <r>
    <n v="81"/>
    <n v="863.24"/>
    <n v="37626"/>
    <s v="Miami"/>
    <x v="2"/>
    <n v="42"/>
    <x v="0"/>
    <x v="2"/>
    <n v="863.24"/>
  </r>
  <r>
    <n v="80"/>
    <n v="116.75"/>
    <n v="24285"/>
    <s v="New York"/>
    <x v="2"/>
    <n v="21"/>
    <x v="0"/>
    <x v="4"/>
    <n v="116.75"/>
  </r>
  <r>
    <n v="79"/>
    <n v="359.11"/>
    <n v="73963"/>
    <s v="Los Angeles"/>
    <x v="4"/>
    <n v="51"/>
    <x v="0"/>
    <x v="1"/>
    <n v="359.11"/>
  </r>
  <r>
    <n v="78"/>
    <n v="74.97"/>
    <n v="42944"/>
    <s v="New York"/>
    <x v="1"/>
    <m/>
    <x v="0"/>
    <x v="4"/>
    <n v="74.97"/>
  </r>
  <r>
    <n v="77"/>
    <n v="771.5"/>
    <n v="37131"/>
    <m/>
    <x v="3"/>
    <n v="25"/>
    <x v="0"/>
    <x v="3"/>
    <n v="771.5"/>
  </r>
  <r>
    <n v="76"/>
    <n v="729.28"/>
    <n v="32049"/>
    <s v="Los Angeles"/>
    <x v="3"/>
    <n v="51"/>
    <x v="0"/>
    <x v="1"/>
    <n v="729.28"/>
  </r>
  <r>
    <n v="75"/>
    <n v="707.15"/>
    <n v="49922"/>
    <s v="Miami"/>
    <x v="3"/>
    <n v="70"/>
    <x v="0"/>
    <x v="2"/>
    <n v="707.15"/>
  </r>
  <r>
    <n v="74"/>
    <n v="815.65"/>
    <n v="43125"/>
    <s v="Los Angeles"/>
    <x v="4"/>
    <n v="30"/>
    <x v="0"/>
    <x v="1"/>
    <n v="815.65"/>
  </r>
  <r>
    <n v="73"/>
    <n v="6.52"/>
    <n v="61877"/>
    <s v="Chicago"/>
    <x v="1"/>
    <n v="42"/>
    <x v="0"/>
    <x v="0"/>
    <n v="6.52"/>
  </r>
  <r>
    <n v="72"/>
    <n v="199.52"/>
    <n v="58017"/>
    <s v="Miami"/>
    <x v="2"/>
    <n v="23"/>
    <x v="0"/>
    <x v="2"/>
    <n v="199.52"/>
  </r>
  <r>
    <n v="71"/>
    <m/>
    <n v="14489"/>
    <m/>
    <x v="1"/>
    <n v="58"/>
    <x v="0"/>
    <x v="0"/>
    <n v="1308.6254845888443"/>
  </r>
  <r>
    <n v="70"/>
    <n v="986.9"/>
    <n v="7239"/>
    <s v="Miami"/>
    <x v="3"/>
    <n v="52"/>
    <x v="0"/>
    <x v="2"/>
    <n v="986.9"/>
  </r>
  <r>
    <n v="69"/>
    <n v="75.48"/>
    <n v="36187"/>
    <s v="Miami"/>
    <x v="0"/>
    <n v="20"/>
    <x v="0"/>
    <x v="2"/>
    <n v="75.48"/>
  </r>
  <r>
    <n v="68"/>
    <n v="802.39"/>
    <n v="45543"/>
    <s v="Los Angeles"/>
    <x v="3"/>
    <n v="69"/>
    <x v="0"/>
    <x v="1"/>
    <n v="802.39"/>
  </r>
  <r>
    <n v="67"/>
    <n v="141.78"/>
    <n v="37744"/>
    <s v="Los Angeles"/>
    <x v="4"/>
    <n v="78"/>
    <x v="0"/>
    <x v="1"/>
    <n v="141.78"/>
  </r>
  <r>
    <n v="66"/>
    <n v="543.15"/>
    <n v="70080"/>
    <s v="Houston"/>
    <x v="4"/>
    <n v="63"/>
    <x v="0"/>
    <x v="3"/>
    <n v="543.15"/>
  </r>
  <r>
    <n v="65"/>
    <n v="281.64999999999998"/>
    <n v="21949"/>
    <s v="Chicago"/>
    <x v="2"/>
    <n v="71"/>
    <x v="0"/>
    <x v="0"/>
    <n v="281.64999999999998"/>
  </r>
  <r>
    <n v="64"/>
    <n v="357.4"/>
    <n v="57091"/>
    <s v="New York"/>
    <x v="1"/>
    <n v="33"/>
    <x v="0"/>
    <x v="4"/>
    <n v="357.4"/>
  </r>
  <r>
    <n v="63"/>
    <n v="828.91"/>
    <n v="17100"/>
    <s v="New York"/>
    <x v="2"/>
    <n v="63"/>
    <x v="0"/>
    <x v="4"/>
    <n v="828.91"/>
  </r>
  <r>
    <n v="62"/>
    <n v="272.08"/>
    <n v="53932"/>
    <s v="Miami"/>
    <x v="4"/>
    <n v="18"/>
    <x v="0"/>
    <x v="2"/>
    <n v="272.08"/>
  </r>
  <r>
    <n v="61"/>
    <n v="389.29"/>
    <n v="45106"/>
    <s v="Los Angeles"/>
    <x v="0"/>
    <n v="31"/>
    <x v="0"/>
    <x v="1"/>
    <n v="389.29"/>
  </r>
  <r>
    <n v="60"/>
    <n v="326.01"/>
    <n v="34816"/>
    <s v="New York"/>
    <x v="1"/>
    <n v="48"/>
    <x v="0"/>
    <x v="4"/>
    <n v="326.01"/>
  </r>
  <r>
    <n v="59"/>
    <n v="46.18"/>
    <n v="38765"/>
    <s v="New York"/>
    <x v="2"/>
    <n v="53"/>
    <x v="0"/>
    <x v="4"/>
    <n v="46.18"/>
  </r>
  <r>
    <n v="58"/>
    <n v="196.79"/>
    <n v="56397"/>
    <s v="Chicago"/>
    <x v="2"/>
    <n v="50"/>
    <x v="0"/>
    <x v="0"/>
    <n v="196.79"/>
  </r>
  <r>
    <n v="57"/>
    <n v="89.4"/>
    <n v="13456"/>
    <s v="Los Angeles"/>
    <x v="4"/>
    <n v="71"/>
    <x v="0"/>
    <x v="1"/>
    <n v="89.4"/>
  </r>
  <r>
    <n v="56"/>
    <n v="921.95"/>
    <n v="53330"/>
    <s v="New York"/>
    <x v="4"/>
    <n v="78"/>
    <x v="0"/>
    <x v="4"/>
    <n v="921.95"/>
  </r>
  <r>
    <n v="55"/>
    <n v="598.29999999999995"/>
    <n v="32201"/>
    <s v="Chicago"/>
    <x v="1"/>
    <n v="42"/>
    <x v="0"/>
    <x v="0"/>
    <n v="598.29999999999995"/>
  </r>
  <r>
    <n v="54"/>
    <n v="894.93"/>
    <n v="4809"/>
    <s v="Los Angeles"/>
    <x v="1"/>
    <n v="19"/>
    <x v="0"/>
    <x v="1"/>
    <n v="894.93"/>
  </r>
  <r>
    <n v="53"/>
    <n v="939.56"/>
    <n v="10916"/>
    <s v="New York"/>
    <x v="4"/>
    <n v="42"/>
    <x v="1"/>
    <x v="4"/>
    <n v="939.56"/>
  </r>
  <r>
    <n v="52"/>
    <n v="775.36"/>
    <n v="69172"/>
    <s v="Houston"/>
    <x v="4"/>
    <n v="27"/>
    <x v="0"/>
    <x v="3"/>
    <n v="775.36"/>
  </r>
  <r>
    <n v="51"/>
    <n v="969.62"/>
    <n v="23524"/>
    <s v="Los Angeles"/>
    <x v="2"/>
    <n v="35"/>
    <x v="0"/>
    <x v="1"/>
    <n v="969.62"/>
  </r>
  <r>
    <n v="50"/>
    <n v="185.67"/>
    <n v="23574"/>
    <s v="Houston"/>
    <x v="4"/>
    <n v="37"/>
    <x v="1"/>
    <x v="3"/>
    <n v="185.67"/>
  </r>
  <r>
    <n v="49"/>
    <n v="547.16"/>
    <n v="50612"/>
    <s v="Chicago"/>
    <x v="2"/>
    <n v="31"/>
    <x v="0"/>
    <x v="0"/>
    <n v="547.16"/>
  </r>
  <r>
    <n v="48"/>
    <n v="520.54999999999995"/>
    <n v="80642"/>
    <s v="Houston"/>
    <x v="0"/>
    <n v="35"/>
    <x v="0"/>
    <x v="3"/>
    <n v="520.54999999999995"/>
  </r>
  <r>
    <n v="47"/>
    <n v="312.39999999999998"/>
    <n v="9860"/>
    <s v="Miami"/>
    <x v="0"/>
    <n v="52"/>
    <x v="1"/>
    <x v="2"/>
    <n v="312.39999999999998"/>
  </r>
  <r>
    <n v="46"/>
    <n v="662.86"/>
    <n v="60100"/>
    <s v="Los Angeles"/>
    <x v="0"/>
    <n v="19"/>
    <x v="0"/>
    <x v="1"/>
    <n v="662.86"/>
  </r>
  <r>
    <n v="45"/>
    <n v="259.52"/>
    <n v="18384"/>
    <s v="New York"/>
    <x v="1"/>
    <n v="44"/>
    <x v="0"/>
    <x v="4"/>
    <n v="259.52"/>
  </r>
  <r>
    <n v="44"/>
    <n v="909.41"/>
    <n v="12763"/>
    <s v="Miami"/>
    <x v="1"/>
    <n v="19"/>
    <x v="0"/>
    <x v="2"/>
    <n v="909.41"/>
  </r>
  <r>
    <n v="43"/>
    <n v="35.35"/>
    <n v="29189"/>
    <s v="Miami"/>
    <x v="3"/>
    <n v="52"/>
    <x v="0"/>
    <x v="2"/>
    <n v="35.35"/>
  </r>
  <r>
    <n v="42"/>
    <n v="495.68"/>
    <n v="47926"/>
    <m/>
    <x v="1"/>
    <m/>
    <x v="0"/>
    <x v="0"/>
    <n v="495.68"/>
  </r>
  <r>
    <n v="41"/>
    <n v="122.92"/>
    <n v="40943"/>
    <s v="Houston"/>
    <x v="0"/>
    <n v="32"/>
    <x v="0"/>
    <x v="3"/>
    <n v="122.92"/>
  </r>
  <r>
    <n v="40"/>
    <n v="440.71"/>
    <n v="404"/>
    <s v="Chicago"/>
    <x v="4"/>
    <n v="26"/>
    <x v="0"/>
    <x v="0"/>
    <n v="440.71"/>
  </r>
  <r>
    <n v="39"/>
    <m/>
    <n v="384"/>
    <s v="Los Angeles"/>
    <x v="2"/>
    <n v="31"/>
    <x v="0"/>
    <x v="1"/>
    <n v="490.47250000000003"/>
  </r>
  <r>
    <n v="38"/>
    <n v="98.57"/>
    <n v="8702"/>
    <s v="Los Angeles"/>
    <x v="2"/>
    <n v="69"/>
    <x v="0"/>
    <x v="1"/>
    <n v="98.57"/>
  </r>
  <r>
    <n v="37"/>
    <n v="305.31"/>
    <n v="75880"/>
    <m/>
    <x v="2"/>
    <n v="24"/>
    <x v="0"/>
    <x v="2"/>
    <n v="305.31"/>
  </r>
  <r>
    <n v="36"/>
    <n v="808.59"/>
    <n v="18017"/>
    <s v="Houston"/>
    <x v="2"/>
    <n v="33"/>
    <x v="0"/>
    <x v="3"/>
    <n v="808.59"/>
  </r>
  <r>
    <n v="35"/>
    <n v="965.67"/>
    <n v="20384"/>
    <s v="Miami"/>
    <x v="2"/>
    <n v="20"/>
    <x v="0"/>
    <x v="2"/>
    <n v="965.67"/>
  </r>
  <r>
    <n v="34"/>
    <n v="948.94"/>
    <n v="46540"/>
    <s v="New York"/>
    <x v="2"/>
    <m/>
    <x v="0"/>
    <x v="4"/>
    <n v="948.94"/>
  </r>
  <r>
    <n v="33"/>
    <n v="65.989999999999995"/>
    <n v="72474"/>
    <s v="Los Angeles"/>
    <x v="2"/>
    <n v="31"/>
    <x v="0"/>
    <x v="1"/>
    <n v="65.989999999999995"/>
  </r>
  <r>
    <n v="32"/>
    <n v="171.35"/>
    <n v="6970"/>
    <s v="Los Angeles"/>
    <x v="4"/>
    <n v="47"/>
    <x v="0"/>
    <x v="1"/>
    <n v="171.35"/>
  </r>
  <r>
    <n v="31"/>
    <n v="607.94000000000005"/>
    <n v="20309"/>
    <s v="Houston"/>
    <x v="3"/>
    <n v="59"/>
    <x v="0"/>
    <x v="3"/>
    <n v="607.94000000000005"/>
  </r>
  <r>
    <n v="30"/>
    <n v="47.4"/>
    <n v="62680"/>
    <s v="Miami"/>
    <x v="0"/>
    <n v="41"/>
    <x v="0"/>
    <x v="2"/>
    <n v="47.4"/>
  </r>
  <r>
    <n v="29"/>
    <n v="592.82000000000005"/>
    <n v="4158"/>
    <s v="Houston"/>
    <x v="3"/>
    <n v="47"/>
    <x v="0"/>
    <x v="3"/>
    <n v="592.82000000000005"/>
  </r>
  <r>
    <n v="28"/>
    <n v="514.72"/>
    <n v="23833"/>
    <s v="Chicago"/>
    <x v="0"/>
    <n v="52"/>
    <x v="1"/>
    <x v="0"/>
    <n v="514.72"/>
  </r>
  <r>
    <n v="27"/>
    <n v="200.47"/>
    <n v="62292"/>
    <s v="Miami"/>
    <x v="0"/>
    <n v="62"/>
    <x v="0"/>
    <x v="2"/>
    <n v="200.47"/>
  </r>
  <r>
    <n v="26"/>
    <n v="785.39"/>
    <n v="8415"/>
    <s v="Chicago"/>
    <x v="0"/>
    <n v="35"/>
    <x v="0"/>
    <x v="0"/>
    <n v="785.39"/>
  </r>
  <r>
    <n v="25"/>
    <n v="456.61"/>
    <n v="27712"/>
    <s v="Miami"/>
    <x v="2"/>
    <n v="55"/>
    <x v="0"/>
    <x v="2"/>
    <n v="456.61"/>
  </r>
  <r>
    <n v="24"/>
    <n v="367"/>
    <n v="61813"/>
    <s v="New York"/>
    <x v="0"/>
    <m/>
    <x v="0"/>
    <x v="4"/>
    <n v="367"/>
  </r>
  <r>
    <n v="23"/>
    <n v="292.85000000000002"/>
    <n v="1015"/>
    <m/>
    <x v="4"/>
    <n v="66"/>
    <x v="0"/>
    <x v="1"/>
    <n v="292.85000000000002"/>
  </r>
  <r>
    <n v="22"/>
    <n v="140.35"/>
    <n v="37892"/>
    <s v="Los Angeles"/>
    <x v="2"/>
    <n v="64"/>
    <x v="0"/>
    <x v="1"/>
    <n v="140.35"/>
  </r>
  <r>
    <n v="21"/>
    <n v="612.24"/>
    <n v="56570"/>
    <m/>
    <x v="2"/>
    <n v="29"/>
    <x v="0"/>
    <x v="2"/>
    <n v="612.24"/>
  </r>
  <r>
    <n v="20"/>
    <n v="291.94"/>
    <n v="23793"/>
    <s v="Miami"/>
    <x v="0"/>
    <n v="59"/>
    <x v="0"/>
    <x v="2"/>
    <n v="291.94"/>
  </r>
  <r>
    <n v="19"/>
    <n v="7661.4593797572697"/>
    <n v="58141"/>
    <s v="Houston"/>
    <x v="4"/>
    <n v="69"/>
    <x v="0"/>
    <x v="3"/>
    <n v="7661.4593797572697"/>
  </r>
  <r>
    <n v="18"/>
    <n v="525.23"/>
    <n v="84791"/>
    <m/>
    <x v="4"/>
    <n v="54"/>
    <x v="0"/>
    <x v="1"/>
    <n v="525.23"/>
  </r>
  <r>
    <n v="17"/>
    <n v="304.94"/>
    <n v="65545"/>
    <s v="Chicago"/>
    <x v="0"/>
    <n v="77"/>
    <x v="0"/>
    <x v="0"/>
    <n v="304.94"/>
  </r>
  <r>
    <n v="16"/>
    <n v="184.22"/>
    <n v="75672"/>
    <s v="Chicago"/>
    <x v="4"/>
    <n v="39"/>
    <x v="0"/>
    <x v="0"/>
    <n v="184.22"/>
  </r>
  <r>
    <n v="15"/>
    <n v="182.64"/>
    <n v="50990"/>
    <s v="Los Angeles"/>
    <x v="0"/>
    <n v="32"/>
    <x v="0"/>
    <x v="1"/>
    <n v="182.64"/>
  </r>
  <r>
    <n v="14"/>
    <n v="213.13"/>
    <n v="70340"/>
    <s v="Houston"/>
    <x v="0"/>
    <m/>
    <x v="0"/>
    <x v="3"/>
    <n v="213.13"/>
  </r>
  <r>
    <n v="13"/>
    <n v="832.61"/>
    <n v="49407"/>
    <s v="New York"/>
    <x v="1"/>
    <n v="39"/>
    <x v="0"/>
    <x v="4"/>
    <n v="832.61"/>
  </r>
  <r>
    <n v="12"/>
    <n v="969.94"/>
    <n v="56178"/>
    <s v="Chicago"/>
    <x v="1"/>
    <n v="52"/>
    <x v="0"/>
    <x v="0"/>
    <n v="969.94"/>
  </r>
  <r>
    <n v="11"/>
    <n v="21.56"/>
    <n v="5713"/>
    <s v="Chicago"/>
    <x v="0"/>
    <n v="23"/>
    <x v="0"/>
    <x v="0"/>
    <n v="21.56"/>
  </r>
  <r>
    <n v="10"/>
    <n v="708.36"/>
    <n v="45445"/>
    <s v="Miami"/>
    <x v="4"/>
    <n v="72"/>
    <x v="0"/>
    <x v="2"/>
    <n v="708.36"/>
  </r>
  <r>
    <n v="9"/>
    <n v="601.51"/>
    <n v="34349"/>
    <s v="New York"/>
    <x v="0"/>
    <n v="35"/>
    <x v="0"/>
    <x v="4"/>
    <n v="601.51"/>
  </r>
  <r>
    <n v="8"/>
    <n v="866.31"/>
    <n v="27532"/>
    <s v="Miami"/>
    <x v="0"/>
    <n v="21"/>
    <x v="0"/>
    <x v="2"/>
    <n v="866.31"/>
  </r>
  <r>
    <n v="7"/>
    <n v="59.03"/>
    <n v="82844"/>
    <s v="Chicago"/>
    <x v="3"/>
    <n v="43"/>
    <x v="0"/>
    <x v="0"/>
    <n v="59.03"/>
  </r>
  <r>
    <n v="6"/>
    <n v="156.84"/>
    <n v="35547"/>
    <s v="Chicago"/>
    <x v="1"/>
    <n v="40"/>
    <x v="0"/>
    <x v="0"/>
    <n v="156.84"/>
  </r>
  <r>
    <n v="5"/>
    <n v="156.86000000000001"/>
    <n v="57043"/>
    <s v="New York"/>
    <x v="2"/>
    <n v="79"/>
    <x v="0"/>
    <x v="4"/>
    <n v="156.86000000000001"/>
  </r>
  <r>
    <n v="4"/>
    <n v="599.05999999999995"/>
    <n v="55284"/>
    <s v="New York"/>
    <x v="2"/>
    <n v="69"/>
    <x v="0"/>
    <x v="4"/>
    <n v="599.05999999999995"/>
  </r>
  <r>
    <n v="3"/>
    <n v="732.26"/>
    <n v="78752"/>
    <s v="Miami"/>
    <x v="3"/>
    <n v="20"/>
    <x v="0"/>
    <x v="2"/>
    <n v="732.26"/>
  </r>
  <r>
    <n v="2"/>
    <n v="950.76"/>
    <n v="38088"/>
    <s v="Los Angeles"/>
    <x v="0"/>
    <n v="28"/>
    <x v="0"/>
    <x v="1"/>
    <n v="950.76"/>
  </r>
  <r>
    <n v="1"/>
    <n v="375.17"/>
    <n v="47605"/>
    <s v="Houston"/>
    <x v="3"/>
    <n v="18"/>
    <x v="0"/>
    <x v="3"/>
    <n v="375.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14CFE-BB9A-614B-8DF0-29F48A4A8639}" name="PivotTable9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3:G39" firstHeaderRow="1" firstDataRow="2" firstDataCol="1" rowPageCount="1" colPageCount="1"/>
  <pivotFields count="7">
    <pivotField showAll="0"/>
    <pivotField dataField="1" showAll="0"/>
    <pivotField showAll="0"/>
    <pivotField axis="axisCol" showAll="0">
      <items count="7">
        <item x="0"/>
        <item x="3"/>
        <item x="1"/>
        <item x="2"/>
        <item x="4"/>
        <item x="5"/>
        <item t="default"/>
      </items>
    </pivotField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6" hier="-1"/>
  </pageFields>
  <dataFields count="1">
    <dataField name="Average of Amount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5702B-18F7-184C-812B-832D7440281C}" name="PivotTable8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3:G29" firstHeaderRow="1" firstDataRow="2" firstDataCol="1" rowPageCount="1" colPageCount="1"/>
  <pivotFields count="7">
    <pivotField showAll="0"/>
    <pivotField showAll="0"/>
    <pivotField showAll="0"/>
    <pivotField axis="axisCol" dataField="1" showAll="0">
      <items count="7">
        <item x="0"/>
        <item x="3"/>
        <item x="1"/>
        <item x="2"/>
        <item x="4"/>
        <item x="5"/>
        <item t="default"/>
      </items>
    </pivotField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6" hier="-1"/>
  </pageFields>
  <dataFields count="1">
    <dataField name="Count of Loca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2C336-D163-F441-A9CE-C74CA897718A}" name="PivotTable7" cacheId="35" applyNumberFormats="0" applyBorderFormats="0" applyFontFormats="0" applyPatternFormats="0" applyAlignmentFormats="0" applyWidthHeightFormats="1" dataCaption="Values" missingCaption="0.0" updatedVersion="8" minRefreshableVersion="3" useAutoFormatting="1" rowGrandTotals="0" colGrandTotals="0" itemPrintTitles="1" createdVersion="8" indent="0" outline="1" outlineData="1" multipleFieldFilters="0">
  <location ref="A13:G19" firstHeaderRow="1" firstDataRow="2" firstDataCol="1" rowPageCount="1" colPageCount="1"/>
  <pivotFields count="7">
    <pivotField showAll="0"/>
    <pivotField dataField="1" showAll="0"/>
    <pivotField showAll="0"/>
    <pivotField axis="axisCol" showAll="0">
      <items count="7">
        <item x="0"/>
        <item x="3"/>
        <item x="1"/>
        <item x="2"/>
        <item x="4"/>
        <item x="5"/>
        <item t="default"/>
      </items>
    </pivotField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6" hier="-1"/>
  </pageFields>
  <dataFields count="1">
    <dataField name="Average of Amount" fld="1" subtotal="average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E853A-2578-D549-99F0-6D8158139701}" name="PivotTable6" cacheId="35" applyNumberFormats="0" applyBorderFormats="0" applyFontFormats="0" applyPatternFormats="0" applyAlignmentFormats="0" applyWidthHeightFormats="1" dataCaption="Values" grandTotalCaption="Max" missingCaption="0" updatedVersion="8" minRefreshableVersion="3" useAutoFormatting="1" rowGrandTotals="0" colGrandTotals="0" itemPrintTitles="1" createdVersion="8" indent="0" outline="1" outlineData="1" multipleFieldFilters="0">
  <location ref="A3:G9" firstHeaderRow="1" firstDataRow="2" firstDataCol="1" rowPageCount="1" colPageCount="1"/>
  <pivotFields count="7">
    <pivotField showAll="0"/>
    <pivotField showAll="0"/>
    <pivotField showAll="0"/>
    <pivotField axis="axisCol" showAll="0">
      <items count="7">
        <item x="0"/>
        <item x="3"/>
        <item x="1"/>
        <item x="2"/>
        <item x="4"/>
        <item x="5"/>
        <item t="default"/>
      </items>
    </pivotField>
    <pivotField axis="axisRow" dataField="1" showAll="0">
      <items count="6">
        <item x="1"/>
        <item x="0"/>
        <item x="4"/>
        <item x="2"/>
        <item x="3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6" hier="-1"/>
  </pageFields>
  <dataFields count="1">
    <dataField name="Count of MerchantCategor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DA782-FC08-ED49-A542-EDBF5D782A44}" name="PivotTable11" cacheId="4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4:F20" firstHeaderRow="1" firstDataRow="2" firstDataCol="1" rowPageCount="1" colPageCount="1"/>
  <pivotFields count="8">
    <pivotField showAll="0"/>
    <pivotField dataField="1" showAll="0"/>
    <pivotField showAll="0"/>
    <pivotField showAll="0"/>
    <pivotField axis="axisCol" showAll="0">
      <items count="6">
        <item x="1"/>
        <item x="0"/>
        <item x="4"/>
        <item x="2"/>
        <item x="3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pageFields count="1">
    <pageField fld="6" hier="-1"/>
  </pageFields>
  <dataFields count="1">
    <dataField name="Average of Amount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E8749-5C4A-7046-B099-23012C4E3518}" name="PivotTable10" cacheId="4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F9" firstHeaderRow="1" firstDataRow="2" firstDataCol="1" rowPageCount="1" colPageCount="1"/>
  <pivotFields count="8">
    <pivotField showAll="0"/>
    <pivotField dataField="1" showAll="0"/>
    <pivotField showAll="0"/>
    <pivotField showAll="0"/>
    <pivotField axis="axisCol" showAll="0">
      <items count="6">
        <item x="1"/>
        <item x="0"/>
        <item x="4"/>
        <item x="2"/>
        <item x="3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pageFields count="1">
    <pageField fld="6" hier="-1"/>
  </pageFields>
  <dataFields count="1">
    <dataField name="Average of Amount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81B96-463B-DC49-B4BB-D063B8DE2182}" name="PivotTable12" cacheId="50" applyNumberFormats="0" applyBorderFormats="0" applyFontFormats="0" applyPatternFormats="0" applyAlignmentFormats="0" applyWidthHeightFormats="1" dataCaption="Values" missingCaption="0.00" updatedVersion="8" minRefreshableVersion="3" useAutoFormatting="1" rowGrandTotals="0" colGrandTotals="0" itemPrintTitles="1" createdVersion="8" indent="0" outline="1" outlineData="1" multipleFieldFilters="0" chartFormat="1">
  <location ref="A3:F9" firstHeaderRow="1" firstDataRow="2" firstDataCol="1" rowPageCount="1" colPageCount="1"/>
  <pivotFields count="9"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Col" subtotalTop="0" showAll="0" defaultSubtotal="0">
      <items count="5">
        <item x="1"/>
        <item x="0"/>
        <item x="4"/>
        <item x="2"/>
        <item x="3"/>
      </items>
    </pivotField>
    <pivotField subtotalTop="0" showAll="0" defaultSubtotal="0"/>
    <pivotField axis="axisPage" subtotalTop="0" multipleItemSelectionAllowed="1" showAll="0" defaultSubtotal="0">
      <items count="2">
        <item h="1" x="0"/>
        <item x="1"/>
      </items>
    </pivotField>
    <pivotField axis="axisRow" subtotalTop="0" showAll="0" defaultSubtotal="0">
      <items count="5">
        <item x="0"/>
        <item x="3"/>
        <item x="1"/>
        <item x="2"/>
        <item x="4"/>
      </items>
    </pivotField>
    <pivotField dataField="1" subtotalTop="0" showAll="0" defaultSubtotal="0"/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pageFields count="1">
    <pageField fld="6" hier="-1"/>
  </pageFields>
  <dataFields count="1">
    <dataField name="Average of Amount  Imputed" fld="8" subtotal="average" baseField="0" baseItem="0" numFmtId="2"/>
  </dataFields>
  <formats count="3">
    <format dxfId="5">
      <pivotArea collapsedLevelsAreSubtotals="1" fieldPosition="0">
        <references count="2">
          <reference field="4" count="1" selected="0">
            <x v="0"/>
          </reference>
          <reference field="7" count="1">
            <x v="0"/>
          </reference>
        </references>
      </pivotArea>
    </format>
    <format dxfId="4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6AF7-FE45-DC46-A2ED-54D5C4162E49}">
  <dimension ref="A1:J39"/>
  <sheetViews>
    <sheetView workbookViewId="0">
      <selection activeCell="J5" sqref="J5"/>
    </sheetView>
  </sheetViews>
  <sheetFormatPr baseColWidth="10" defaultRowHeight="16" x14ac:dyDescent="0.2"/>
  <cols>
    <col min="1" max="1" width="16.83203125" bestFit="1" customWidth="1"/>
    <col min="2" max="2" width="16" bestFit="1" customWidth="1"/>
    <col min="3" max="8" width="12.1640625" bestFit="1" customWidth="1"/>
    <col min="9" max="9" width="15.1640625" bestFit="1" customWidth="1"/>
  </cols>
  <sheetData>
    <row r="1" spans="1:10" x14ac:dyDescent="0.2">
      <c r="A1" s="1" t="s">
        <v>6</v>
      </c>
      <c r="B1" s="2">
        <v>1</v>
      </c>
    </row>
    <row r="3" spans="1:10" x14ac:dyDescent="0.2">
      <c r="A3" s="1" t="s">
        <v>20</v>
      </c>
      <c r="B3" s="1" t="s">
        <v>17</v>
      </c>
    </row>
    <row r="4" spans="1:10" x14ac:dyDescent="0.2">
      <c r="A4" s="1" t="s">
        <v>19</v>
      </c>
      <c r="B4" t="s">
        <v>7</v>
      </c>
      <c r="C4" t="s">
        <v>13</v>
      </c>
      <c r="D4" t="s">
        <v>9</v>
      </c>
      <c r="E4" t="s">
        <v>10</v>
      </c>
      <c r="F4" t="s">
        <v>15</v>
      </c>
      <c r="G4" t="s">
        <v>18</v>
      </c>
      <c r="H4" t="s">
        <v>21</v>
      </c>
      <c r="I4" t="s">
        <v>24</v>
      </c>
    </row>
    <row r="5" spans="1:10" x14ac:dyDescent="0.2">
      <c r="A5" s="2" t="s">
        <v>11</v>
      </c>
      <c r="B5" s="3">
        <v>1</v>
      </c>
      <c r="C5" s="3">
        <v>1</v>
      </c>
      <c r="D5" s="3">
        <v>1</v>
      </c>
      <c r="E5" s="3">
        <v>1</v>
      </c>
      <c r="F5" s="3">
        <v>2</v>
      </c>
      <c r="G5" s="3">
        <v>0</v>
      </c>
      <c r="H5">
        <f>MAX(B5:F5)</f>
        <v>2</v>
      </c>
      <c r="I5">
        <f>COUNTIF(B5:F5,"="&amp;H5)</f>
        <v>1</v>
      </c>
      <c r="J5" t="str">
        <f>IF(I5&gt;1,VLOOKUP(A5,$A$15:$I$19,9),INDEX($B$4:$F$4,1,MATCH(H5,B5:F5,0)))</f>
        <v>New York</v>
      </c>
    </row>
    <row r="6" spans="1:10" x14ac:dyDescent="0.2">
      <c r="A6" s="2" t="s">
        <v>8</v>
      </c>
      <c r="B6" s="3">
        <v>1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>
        <f t="shared" ref="H6:H9" si="0">MAX(B6:F6)</f>
        <v>1</v>
      </c>
      <c r="I6">
        <f t="shared" ref="I6:I9" si="1">COUNTIF(B6:F6,"="&amp;H6)</f>
        <v>4</v>
      </c>
      <c r="J6" t="str">
        <f t="shared" ref="J6:J9" si="2">IF(I6&gt;1,VLOOKUP(A6,$A$15:$I$19,9),INDEX($B$4:$F$4,1,MATCH(H6,B6:F6,0)))</f>
        <v>Los Angeles</v>
      </c>
    </row>
    <row r="7" spans="1:10" x14ac:dyDescent="0.2">
      <c r="A7" s="2" t="s">
        <v>16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0</v>
      </c>
      <c r="H7">
        <f t="shared" si="0"/>
        <v>1</v>
      </c>
      <c r="I7">
        <f t="shared" si="1"/>
        <v>5</v>
      </c>
      <c r="J7" t="str">
        <f t="shared" si="2"/>
        <v>New York</v>
      </c>
    </row>
    <row r="8" spans="1:10" x14ac:dyDescent="0.2">
      <c r="A8" s="2" t="s">
        <v>12</v>
      </c>
      <c r="B8" s="3">
        <v>1</v>
      </c>
      <c r="C8" s="3">
        <v>0</v>
      </c>
      <c r="D8" s="3">
        <v>1</v>
      </c>
      <c r="E8" s="3">
        <v>2</v>
      </c>
      <c r="F8" s="3">
        <v>3</v>
      </c>
      <c r="G8" s="3">
        <v>1</v>
      </c>
      <c r="H8">
        <f t="shared" si="0"/>
        <v>3</v>
      </c>
      <c r="I8">
        <f t="shared" si="1"/>
        <v>1</v>
      </c>
      <c r="J8" t="str">
        <f t="shared" si="2"/>
        <v>New York</v>
      </c>
    </row>
    <row r="9" spans="1:10" x14ac:dyDescent="0.2">
      <c r="A9" s="2" t="s">
        <v>14</v>
      </c>
      <c r="B9" s="3">
        <v>1</v>
      </c>
      <c r="C9" s="3">
        <v>0</v>
      </c>
      <c r="D9" s="3">
        <v>1</v>
      </c>
      <c r="E9" s="3">
        <v>2</v>
      </c>
      <c r="F9" s="3">
        <v>0</v>
      </c>
      <c r="G9" s="3">
        <v>0</v>
      </c>
      <c r="H9">
        <f t="shared" si="0"/>
        <v>2</v>
      </c>
      <c r="I9">
        <f t="shared" si="1"/>
        <v>1</v>
      </c>
      <c r="J9" t="str">
        <f t="shared" si="2"/>
        <v>Miami</v>
      </c>
    </row>
    <row r="10" spans="1:10" x14ac:dyDescent="0.2">
      <c r="A10" s="2"/>
      <c r="B10" s="3"/>
      <c r="C10" s="3"/>
      <c r="D10" s="3"/>
      <c r="E10" s="3"/>
      <c r="F10" s="3"/>
      <c r="G10" s="3"/>
    </row>
    <row r="11" spans="1:10" x14ac:dyDescent="0.2">
      <c r="A11" s="1" t="s">
        <v>6</v>
      </c>
      <c r="B11" s="2">
        <v>1</v>
      </c>
    </row>
    <row r="13" spans="1:10" x14ac:dyDescent="0.2">
      <c r="A13" s="1" t="s">
        <v>22</v>
      </c>
      <c r="B13" s="1" t="s">
        <v>17</v>
      </c>
    </row>
    <row r="14" spans="1:10" x14ac:dyDescent="0.2">
      <c r="A14" s="1" t="s">
        <v>19</v>
      </c>
      <c r="B14" t="s">
        <v>7</v>
      </c>
      <c r="C14" t="s">
        <v>13</v>
      </c>
      <c r="D14" t="s">
        <v>9</v>
      </c>
      <c r="E14" t="s">
        <v>10</v>
      </c>
      <c r="F14" t="s">
        <v>15</v>
      </c>
      <c r="G14" t="s">
        <v>18</v>
      </c>
      <c r="H14" t="s">
        <v>21</v>
      </c>
    </row>
    <row r="15" spans="1:10" x14ac:dyDescent="0.2">
      <c r="A15" s="2" t="s">
        <v>11</v>
      </c>
      <c r="B15" s="4">
        <v>216.61</v>
      </c>
      <c r="C15" s="4">
        <v>371.27</v>
      </c>
      <c r="D15" s="4">
        <v>539.79999999999995</v>
      </c>
      <c r="E15" s="4">
        <v>162.47</v>
      </c>
      <c r="F15" s="4">
        <v>360.83</v>
      </c>
      <c r="G15" s="4" t="s">
        <v>23</v>
      </c>
      <c r="H15">
        <f>MAX(B15:F15)</f>
        <v>539.79999999999995</v>
      </c>
      <c r="I15" t="str">
        <f>INDEX($B$14:$F$14,1,MATCH(H15,B15:F15,0))</f>
        <v>Los Angeles</v>
      </c>
    </row>
    <row r="16" spans="1:10" x14ac:dyDescent="0.2">
      <c r="A16" s="2" t="s">
        <v>8</v>
      </c>
      <c r="B16" s="4">
        <v>514.72</v>
      </c>
      <c r="C16" s="4">
        <v>860.87</v>
      </c>
      <c r="D16" s="4">
        <v>974.42</v>
      </c>
      <c r="E16" s="4">
        <v>312.39999999999998</v>
      </c>
      <c r="F16" s="4" t="s">
        <v>23</v>
      </c>
      <c r="G16" s="4" t="s">
        <v>23</v>
      </c>
      <c r="H16">
        <f t="shared" ref="H16:H19" si="3">MAX(B16:F16)</f>
        <v>974.42</v>
      </c>
      <c r="I16" t="str">
        <f t="shared" ref="I16:I19" si="4">INDEX($B$14:$F$14,1,MATCH(H16,B16:F16,0))</f>
        <v>Los Angeles</v>
      </c>
    </row>
    <row r="17" spans="1:10" x14ac:dyDescent="0.2">
      <c r="A17" s="2" t="s">
        <v>16</v>
      </c>
      <c r="B17" s="4">
        <v>31.47</v>
      </c>
      <c r="C17" s="4">
        <v>185.67</v>
      </c>
      <c r="D17" s="4">
        <v>714.88</v>
      </c>
      <c r="E17" s="4">
        <v>586.19000000000005</v>
      </c>
      <c r="F17" s="4">
        <v>939.56</v>
      </c>
      <c r="G17" s="4" t="s">
        <v>23</v>
      </c>
      <c r="H17">
        <f t="shared" si="3"/>
        <v>939.56</v>
      </c>
      <c r="I17" t="str">
        <f t="shared" si="4"/>
        <v>New York</v>
      </c>
    </row>
    <row r="18" spans="1:10" x14ac:dyDescent="0.2">
      <c r="A18" s="2" t="s">
        <v>12</v>
      </c>
      <c r="B18" s="4">
        <v>52.43</v>
      </c>
      <c r="C18" s="4" t="s">
        <v>23</v>
      </c>
      <c r="D18" s="4">
        <v>94.58</v>
      </c>
      <c r="E18" s="4">
        <v>756.92000000000007</v>
      </c>
      <c r="F18" s="4">
        <v>357.01333333333332</v>
      </c>
      <c r="G18" s="4">
        <v>663.84</v>
      </c>
      <c r="H18">
        <f t="shared" si="3"/>
        <v>756.92000000000007</v>
      </c>
      <c r="I18" t="str">
        <f t="shared" si="4"/>
        <v>Miami</v>
      </c>
    </row>
    <row r="19" spans="1:10" x14ac:dyDescent="0.2">
      <c r="A19" s="2" t="s">
        <v>14</v>
      </c>
      <c r="B19" s="4">
        <v>892.15</v>
      </c>
      <c r="C19" s="4" t="s">
        <v>23</v>
      </c>
      <c r="D19" s="4">
        <v>98.08</v>
      </c>
      <c r="E19" s="4">
        <v>225.05</v>
      </c>
      <c r="F19" s="4" t="s">
        <v>23</v>
      </c>
      <c r="G19" s="4" t="s">
        <v>23</v>
      </c>
      <c r="H19">
        <f t="shared" si="3"/>
        <v>892.15</v>
      </c>
      <c r="I19" t="str">
        <f t="shared" si="4"/>
        <v>Chicago</v>
      </c>
    </row>
    <row r="20" spans="1:10" x14ac:dyDescent="0.2">
      <c r="A20" s="2"/>
      <c r="B20" s="4"/>
      <c r="C20" s="4"/>
      <c r="D20" s="4"/>
      <c r="E20" s="4"/>
      <c r="F20" s="4"/>
      <c r="G20" s="4"/>
    </row>
    <row r="21" spans="1:10" x14ac:dyDescent="0.2">
      <c r="A21" s="1" t="s">
        <v>6</v>
      </c>
      <c r="B21" s="2">
        <v>0</v>
      </c>
      <c r="C21" s="4"/>
      <c r="D21" s="4"/>
      <c r="E21" s="4"/>
      <c r="F21" s="4"/>
      <c r="G21" s="4"/>
    </row>
    <row r="23" spans="1:10" x14ac:dyDescent="0.2">
      <c r="A23" s="1" t="s">
        <v>25</v>
      </c>
      <c r="B23" s="1" t="s">
        <v>17</v>
      </c>
    </row>
    <row r="24" spans="1:10" x14ac:dyDescent="0.2">
      <c r="A24" s="1" t="s">
        <v>19</v>
      </c>
      <c r="B24" t="s">
        <v>7</v>
      </c>
      <c r="C24" t="s">
        <v>13</v>
      </c>
      <c r="D24" t="s">
        <v>9</v>
      </c>
      <c r="E24" t="s">
        <v>10</v>
      </c>
      <c r="F24" t="s">
        <v>15</v>
      </c>
      <c r="G24" t="s">
        <v>18</v>
      </c>
      <c r="H24" t="s">
        <v>21</v>
      </c>
      <c r="I24" t="s">
        <v>24</v>
      </c>
    </row>
    <row r="25" spans="1:10" x14ac:dyDescent="0.2">
      <c r="A25" s="2" t="s">
        <v>11</v>
      </c>
      <c r="B25" s="3">
        <v>16</v>
      </c>
      <c r="C25" s="3">
        <v>10</v>
      </c>
      <c r="D25" s="3">
        <v>11</v>
      </c>
      <c r="E25" s="3">
        <v>16</v>
      </c>
      <c r="F25" s="3">
        <v>16</v>
      </c>
      <c r="G25" s="3"/>
      <c r="H25">
        <f>MAX(B25:F25)</f>
        <v>16</v>
      </c>
      <c r="I25">
        <f>COUNTIF(B25:F25,"="&amp;H25)</f>
        <v>3</v>
      </c>
      <c r="J25" t="str">
        <f>IF(I25&gt;1,VLOOKUP(A25,$A$35:$I$39,9,0),INDEX($B$24:$F$24,1,MATCH(H25,B25:F25,0)))</f>
        <v>Chicago</v>
      </c>
    </row>
    <row r="26" spans="1:10" x14ac:dyDescent="0.2">
      <c r="A26" s="2" t="s">
        <v>8</v>
      </c>
      <c r="B26" s="3">
        <v>17</v>
      </c>
      <c r="C26" s="3">
        <v>17</v>
      </c>
      <c r="D26" s="3">
        <v>20</v>
      </c>
      <c r="E26" s="3">
        <v>25</v>
      </c>
      <c r="F26" s="3">
        <v>19</v>
      </c>
      <c r="G26" s="3"/>
      <c r="H26">
        <f t="shared" ref="H26:H29" si="5">MAX(B26:F26)</f>
        <v>25</v>
      </c>
      <c r="I26">
        <f t="shared" ref="I26:I29" si="6">COUNTIF(B26:F26,"="&amp;H26)</f>
        <v>1</v>
      </c>
      <c r="J26" t="str">
        <f t="shared" ref="J26:J29" si="7">IF(I26&gt;1,VLOOKUP(A26,$A$35:$I$39,9,0),INDEX($B$24:$F$24,1,MATCH(H26,B26:F26,0)))</f>
        <v>Miami</v>
      </c>
    </row>
    <row r="27" spans="1:10" x14ac:dyDescent="0.2">
      <c r="A27" s="2" t="s">
        <v>16</v>
      </c>
      <c r="B27" s="3">
        <v>24</v>
      </c>
      <c r="C27" s="3">
        <v>11</v>
      </c>
      <c r="D27" s="3">
        <v>25</v>
      </c>
      <c r="E27" s="3">
        <v>19</v>
      </c>
      <c r="F27" s="3">
        <v>19</v>
      </c>
      <c r="G27" s="3"/>
      <c r="H27">
        <f t="shared" si="5"/>
        <v>25</v>
      </c>
      <c r="I27">
        <f t="shared" si="6"/>
        <v>1</v>
      </c>
      <c r="J27" t="str">
        <f t="shared" si="7"/>
        <v>Los Angeles</v>
      </c>
    </row>
    <row r="28" spans="1:10" x14ac:dyDescent="0.2">
      <c r="A28" s="2" t="s">
        <v>12</v>
      </c>
      <c r="B28" s="3">
        <v>22</v>
      </c>
      <c r="C28" s="3">
        <v>15</v>
      </c>
      <c r="D28" s="3">
        <v>13</v>
      </c>
      <c r="E28" s="3">
        <v>23</v>
      </c>
      <c r="F28" s="3">
        <v>21</v>
      </c>
      <c r="G28" s="3"/>
      <c r="H28">
        <f t="shared" si="5"/>
        <v>23</v>
      </c>
      <c r="I28">
        <f t="shared" si="6"/>
        <v>1</v>
      </c>
      <c r="J28" t="str">
        <f t="shared" si="7"/>
        <v>Miami</v>
      </c>
    </row>
    <row r="29" spans="1:10" x14ac:dyDescent="0.2">
      <c r="A29" s="2" t="s">
        <v>14</v>
      </c>
      <c r="B29" s="3">
        <v>20</v>
      </c>
      <c r="C29" s="3">
        <v>24</v>
      </c>
      <c r="D29" s="3">
        <v>23</v>
      </c>
      <c r="E29" s="3">
        <v>14</v>
      </c>
      <c r="F29" s="3">
        <v>9</v>
      </c>
      <c r="G29" s="3"/>
      <c r="H29">
        <f t="shared" si="5"/>
        <v>24</v>
      </c>
      <c r="I29">
        <f t="shared" si="6"/>
        <v>1</v>
      </c>
      <c r="J29" t="str">
        <f t="shared" si="7"/>
        <v>Houston</v>
      </c>
    </row>
    <row r="31" spans="1:10" x14ac:dyDescent="0.2">
      <c r="A31" s="1" t="s">
        <v>6</v>
      </c>
      <c r="B31" s="2">
        <v>0</v>
      </c>
    </row>
    <row r="33" spans="1:9" x14ac:dyDescent="0.2">
      <c r="A33" s="1" t="s">
        <v>22</v>
      </c>
      <c r="B33" s="1" t="s">
        <v>17</v>
      </c>
    </row>
    <row r="34" spans="1:9" x14ac:dyDescent="0.2">
      <c r="A34" s="1" t="s">
        <v>19</v>
      </c>
      <c r="B34" t="s">
        <v>7</v>
      </c>
      <c r="C34" t="s">
        <v>13</v>
      </c>
      <c r="D34" t="s">
        <v>9</v>
      </c>
      <c r="E34" t="s">
        <v>10</v>
      </c>
      <c r="F34" t="s">
        <v>15</v>
      </c>
      <c r="G34" t="s">
        <v>18</v>
      </c>
      <c r="H34" t="s">
        <v>21</v>
      </c>
    </row>
    <row r="35" spans="1:9" x14ac:dyDescent="0.2">
      <c r="A35" s="2" t="s">
        <v>11</v>
      </c>
      <c r="B35" s="3">
        <v>1389.8868825340235</v>
      </c>
      <c r="C35" s="3">
        <v>1230.323338566516</v>
      </c>
      <c r="D35" s="3">
        <v>535.27400000000011</v>
      </c>
      <c r="E35" s="3">
        <v>536.42062500000009</v>
      </c>
      <c r="F35" s="3">
        <v>426.96562500000005</v>
      </c>
      <c r="G35" s="3">
        <v>699.16499999999996</v>
      </c>
      <c r="H35">
        <f>MAX(B35:F35)</f>
        <v>1389.8868825340235</v>
      </c>
      <c r="I35" t="str">
        <f>INDEX($B$34:$F$34,1,MATCH(H35,B35:F35,0))</f>
        <v>Chicago</v>
      </c>
    </row>
    <row r="36" spans="1:9" x14ac:dyDescent="0.2">
      <c r="A36" s="2" t="s">
        <v>8</v>
      </c>
      <c r="B36" s="3">
        <v>486.12</v>
      </c>
      <c r="C36" s="3">
        <v>344.73066666666659</v>
      </c>
      <c r="D36" s="3">
        <v>477.34000000000015</v>
      </c>
      <c r="E36" s="3">
        <v>964.82385405463401</v>
      </c>
      <c r="F36" s="3">
        <v>842.45207288062159</v>
      </c>
      <c r="G36" s="3">
        <v>761.75</v>
      </c>
      <c r="H36">
        <f t="shared" ref="H36:H39" si="8">MAX(B36:F36)</f>
        <v>964.82385405463401</v>
      </c>
      <c r="I36" t="str">
        <f t="shared" ref="I36:I39" si="9">INDEX($B$34:$F$34,1,MATCH(H36,B36:F36,0))</f>
        <v>Miami</v>
      </c>
    </row>
    <row r="37" spans="1:9" x14ac:dyDescent="0.2">
      <c r="A37" s="2" t="s">
        <v>16</v>
      </c>
      <c r="B37" s="3">
        <v>437.80249999999995</v>
      </c>
      <c r="C37" s="3">
        <v>1616.6688588476102</v>
      </c>
      <c r="D37" s="3">
        <v>553.32782608695652</v>
      </c>
      <c r="E37" s="3">
        <v>558.25736842105255</v>
      </c>
      <c r="F37" s="3">
        <v>904.33649430608557</v>
      </c>
      <c r="G37" s="3">
        <v>456.70833333333331</v>
      </c>
      <c r="H37">
        <f t="shared" si="8"/>
        <v>1616.6688588476102</v>
      </c>
      <c r="I37" t="str">
        <f t="shared" si="9"/>
        <v>Houston</v>
      </c>
    </row>
    <row r="38" spans="1:9" x14ac:dyDescent="0.2">
      <c r="A38" s="2" t="s">
        <v>12</v>
      </c>
      <c r="B38" s="3">
        <v>463.83699999999999</v>
      </c>
      <c r="C38" s="3">
        <v>510.41857142857151</v>
      </c>
      <c r="D38" s="3">
        <v>490.47250000000003</v>
      </c>
      <c r="E38" s="3">
        <v>834.76578507525687</v>
      </c>
      <c r="F38" s="3">
        <v>372.60809523809525</v>
      </c>
      <c r="G38" s="3">
        <v>435.66874999999999</v>
      </c>
      <c r="H38">
        <f t="shared" si="8"/>
        <v>834.76578507525687</v>
      </c>
      <c r="I38" t="str">
        <f t="shared" si="9"/>
        <v>Miami</v>
      </c>
    </row>
    <row r="39" spans="1:9" x14ac:dyDescent="0.2">
      <c r="A39" s="2" t="s">
        <v>14</v>
      </c>
      <c r="B39" s="3">
        <v>585.44833333333338</v>
      </c>
      <c r="C39" s="3">
        <v>467.32913043478254</v>
      </c>
      <c r="D39" s="3">
        <v>557.75363636363636</v>
      </c>
      <c r="E39" s="3">
        <v>886.90908787399508</v>
      </c>
      <c r="F39" s="3">
        <v>736.75222222222226</v>
      </c>
      <c r="G39" s="3">
        <v>493.04200000000003</v>
      </c>
      <c r="H39">
        <f t="shared" si="8"/>
        <v>886.90908787399508</v>
      </c>
      <c r="I39" t="str">
        <f t="shared" si="9"/>
        <v>Miami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CD9F-1007-A149-987C-BC2919C02A10}">
  <dimension ref="A1:F20"/>
  <sheetViews>
    <sheetView workbookViewId="0">
      <selection activeCell="E18" sqref="E18"/>
    </sheetView>
  </sheetViews>
  <sheetFormatPr baseColWidth="10" defaultRowHeight="16" x14ac:dyDescent="0.2"/>
  <cols>
    <col min="1" max="1" width="16.83203125" bestFit="1" customWidth="1"/>
    <col min="2" max="2" width="16" bestFit="1" customWidth="1"/>
    <col min="3" max="3" width="12.1640625" bestFit="1" customWidth="1"/>
    <col min="4" max="4" width="13" bestFit="1" customWidth="1"/>
    <col min="5" max="7" width="12.1640625" bestFit="1" customWidth="1"/>
  </cols>
  <sheetData>
    <row r="1" spans="1:6" x14ac:dyDescent="0.2">
      <c r="A1" s="1" t="s">
        <v>6</v>
      </c>
      <c r="B1" s="2">
        <v>1</v>
      </c>
    </row>
    <row r="3" spans="1:6" x14ac:dyDescent="0.2">
      <c r="A3" s="1" t="s">
        <v>22</v>
      </c>
      <c r="B3" s="1" t="s">
        <v>17</v>
      </c>
    </row>
    <row r="4" spans="1:6" x14ac:dyDescent="0.2">
      <c r="A4" s="1" t="s">
        <v>19</v>
      </c>
      <c r="B4" t="s">
        <v>11</v>
      </c>
      <c r="C4" t="s">
        <v>8</v>
      </c>
      <c r="D4" t="s">
        <v>16</v>
      </c>
      <c r="E4" t="s">
        <v>12</v>
      </c>
      <c r="F4" t="s">
        <v>14</v>
      </c>
    </row>
    <row r="5" spans="1:6" x14ac:dyDescent="0.2">
      <c r="A5" s="2" t="s">
        <v>7</v>
      </c>
      <c r="B5" s="3">
        <v>216.61</v>
      </c>
      <c r="C5" s="3">
        <v>514.72</v>
      </c>
      <c r="D5" s="3">
        <v>31.47</v>
      </c>
      <c r="E5" s="3">
        <v>52.43</v>
      </c>
      <c r="F5" s="3">
        <v>892.15</v>
      </c>
    </row>
    <row r="6" spans="1:6" x14ac:dyDescent="0.2">
      <c r="A6" s="2" t="s">
        <v>13</v>
      </c>
      <c r="B6" s="3">
        <v>371.27</v>
      </c>
      <c r="C6" s="3">
        <v>860.87</v>
      </c>
      <c r="D6" s="3">
        <v>185.67</v>
      </c>
      <c r="E6" s="3"/>
      <c r="F6" s="3"/>
    </row>
    <row r="7" spans="1:6" x14ac:dyDescent="0.2">
      <c r="A7" s="2" t="s">
        <v>9</v>
      </c>
      <c r="B7" s="3">
        <v>539.79999999999995</v>
      </c>
      <c r="C7" s="3">
        <v>974.42</v>
      </c>
      <c r="D7" s="3">
        <v>714.88</v>
      </c>
      <c r="E7" s="3">
        <v>94.58</v>
      </c>
      <c r="F7" s="3">
        <v>98.08</v>
      </c>
    </row>
    <row r="8" spans="1:6" x14ac:dyDescent="0.2">
      <c r="A8" s="2" t="s">
        <v>10</v>
      </c>
      <c r="B8" s="3">
        <v>162.47</v>
      </c>
      <c r="C8" s="3">
        <v>312.39999999999998</v>
      </c>
      <c r="D8" s="3">
        <v>586.19000000000005</v>
      </c>
      <c r="E8" s="3">
        <v>756.92000000000007</v>
      </c>
      <c r="F8" s="3">
        <v>225.05</v>
      </c>
    </row>
    <row r="9" spans="1:6" x14ac:dyDescent="0.2">
      <c r="A9" s="2" t="s">
        <v>15</v>
      </c>
      <c r="B9" s="3">
        <v>360.83</v>
      </c>
      <c r="C9" s="3"/>
      <c r="D9" s="3">
        <v>939.56</v>
      </c>
      <c r="E9" s="3">
        <v>433.72</v>
      </c>
      <c r="F9" s="3"/>
    </row>
    <row r="12" spans="1:6" x14ac:dyDescent="0.2">
      <c r="A12" s="1" t="s">
        <v>6</v>
      </c>
      <c r="B12" s="2">
        <v>0</v>
      </c>
    </row>
    <row r="14" spans="1:6" x14ac:dyDescent="0.2">
      <c r="A14" s="1" t="s">
        <v>22</v>
      </c>
      <c r="B14" s="1" t="s">
        <v>17</v>
      </c>
    </row>
    <row r="15" spans="1:6" x14ac:dyDescent="0.2">
      <c r="A15" s="1" t="s">
        <v>19</v>
      </c>
      <c r="B15" t="s">
        <v>11</v>
      </c>
      <c r="C15" t="s">
        <v>8</v>
      </c>
      <c r="D15" t="s">
        <v>16</v>
      </c>
      <c r="E15" t="s">
        <v>12</v>
      </c>
      <c r="F15" t="s">
        <v>14</v>
      </c>
    </row>
    <row r="16" spans="1:6" x14ac:dyDescent="0.2">
      <c r="A16" s="2" t="s">
        <v>7</v>
      </c>
      <c r="B16" s="3">
        <v>1308.6254845888443</v>
      </c>
      <c r="C16" s="3">
        <v>486.12</v>
      </c>
      <c r="D16" s="3">
        <v>437.80249999999995</v>
      </c>
      <c r="E16" s="3">
        <v>463.83699999999999</v>
      </c>
      <c r="F16" s="3">
        <v>585.44833333333338</v>
      </c>
    </row>
    <row r="17" spans="1:6" x14ac:dyDescent="0.2">
      <c r="A17" s="2" t="s">
        <v>13</v>
      </c>
      <c r="B17" s="3">
        <v>1230.323338566516</v>
      </c>
      <c r="C17" s="3">
        <v>344.73066666666659</v>
      </c>
      <c r="D17" s="3">
        <v>1616.6688588476102</v>
      </c>
      <c r="E17" s="3">
        <v>510.41857142857151</v>
      </c>
      <c r="F17" s="3">
        <v>471.92071428571433</v>
      </c>
    </row>
    <row r="18" spans="1:6" x14ac:dyDescent="0.2">
      <c r="A18" s="2" t="s">
        <v>9</v>
      </c>
      <c r="B18" s="3">
        <v>535.27400000000011</v>
      </c>
      <c r="C18" s="3">
        <v>477.34000000000015</v>
      </c>
      <c r="D18" s="3">
        <v>533.33758620689673</v>
      </c>
      <c r="E18" s="3">
        <v>490.47250000000003</v>
      </c>
      <c r="F18" s="3">
        <v>557.75363636363636</v>
      </c>
    </row>
    <row r="19" spans="1:6" x14ac:dyDescent="0.2">
      <c r="A19" s="2" t="s">
        <v>10</v>
      </c>
      <c r="B19" s="3">
        <v>536.42062500000009</v>
      </c>
      <c r="C19" s="3">
        <v>956.36244346902424</v>
      </c>
      <c r="D19" s="3">
        <v>558.25736842105255</v>
      </c>
      <c r="E19" s="3">
        <v>724.67005126139316</v>
      </c>
      <c r="F19" s="3">
        <v>886.90908787399508</v>
      </c>
    </row>
    <row r="20" spans="1:6" x14ac:dyDescent="0.2">
      <c r="A20" s="2" t="s">
        <v>15</v>
      </c>
      <c r="B20" s="3">
        <v>426.96562500000005</v>
      </c>
      <c r="C20" s="3">
        <v>842.45207288062159</v>
      </c>
      <c r="D20" s="3">
        <v>904.33649430608557</v>
      </c>
      <c r="E20" s="3">
        <v>372.60809523809525</v>
      </c>
      <c r="F20" s="3">
        <v>736.75222222222226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D1D2-7882-A940-9FA0-58932A7766F5}">
  <dimension ref="A1:I501"/>
  <sheetViews>
    <sheetView workbookViewId="0">
      <selection activeCell="K14" sqref="K14"/>
    </sheetView>
  </sheetViews>
  <sheetFormatPr baseColWidth="10" defaultRowHeight="16" x14ac:dyDescent="0.2"/>
  <cols>
    <col min="5" max="5" width="16.5" bestFit="1" customWidth="1"/>
    <col min="8" max="8" width="15.1640625" bestFit="1" customWidth="1"/>
    <col min="9" max="9" width="14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t="s">
        <v>27</v>
      </c>
    </row>
    <row r="2" spans="1:9" x14ac:dyDescent="0.2">
      <c r="A2">
        <v>500</v>
      </c>
      <c r="B2">
        <v>986.22</v>
      </c>
      <c r="C2">
        <v>81974</v>
      </c>
      <c r="D2" t="s">
        <v>7</v>
      </c>
      <c r="E2" t="s">
        <v>8</v>
      </c>
      <c r="F2">
        <v>37</v>
      </c>
      <c r="G2">
        <v>0</v>
      </c>
      <c r="H2" t="str">
        <f>IF(ISBLANK(D2),IF(G2=1,VLOOKUP(E2,'Location Impute Tables'!$A$5:$J$9,10,0),VLOOKUP(E2,'Location Impute Tables'!$A$25:$J$29,10,0)),D2)</f>
        <v>Chicago</v>
      </c>
      <c r="I2">
        <f>IF(ISBLANK(B2),IF(G2=1,VLOOKUP(H2,'Amount Impute Table'!$A$5:$F$9,MATCH(fraud_data!E2,'Amount Impute Table'!$B$4:$F$4,0)+1,FALSE),VLOOKUP(H2,'Amount Impute Table'!$A$16:$F$20,MATCH(E2,'Amount Impute Table'!$B$15:$F$15,0)+1,0)),B2)</f>
        <v>986.22</v>
      </c>
    </row>
    <row r="3" spans="1:9" x14ac:dyDescent="0.2">
      <c r="A3">
        <v>499</v>
      </c>
      <c r="B3">
        <v>974.42</v>
      </c>
      <c r="C3">
        <v>52603</v>
      </c>
      <c r="D3" t="s">
        <v>9</v>
      </c>
      <c r="E3" t="s">
        <v>8</v>
      </c>
      <c r="F3">
        <v>21</v>
      </c>
      <c r="G3">
        <v>1</v>
      </c>
      <c r="H3" t="str">
        <f>IF(ISBLANK(D3),IF(G3=1,VLOOKUP(E3,'Location Impute Tables'!$A$5:$J$9,10,0),VLOOKUP(E3,'Location Impute Tables'!$A$25:$J$29,10,0)),D3)</f>
        <v>Los Angeles</v>
      </c>
      <c r="I3">
        <f>IF(ISBLANK(B3),IF(G3=1,VLOOKUP(H3,'Amount Impute Table'!$A$5:$F$9,MATCH(fraud_data!E3,'Amount Impute Table'!$B$4:$F$4,0)+1,FALSE),VLOOKUP(H3,'Amount Impute Table'!$A$16:$F$20,MATCH(E3,'Amount Impute Table'!$B$15:$F$15,0)+1,0)),B3)</f>
        <v>974.42</v>
      </c>
    </row>
    <row r="4" spans="1:9" x14ac:dyDescent="0.2">
      <c r="A4">
        <v>498</v>
      </c>
      <c r="B4">
        <v>78.66</v>
      </c>
      <c r="C4">
        <v>75629</v>
      </c>
      <c r="D4" t="s">
        <v>10</v>
      </c>
      <c r="E4" t="s">
        <v>11</v>
      </c>
      <c r="F4">
        <v>78</v>
      </c>
      <c r="G4">
        <v>0</v>
      </c>
      <c r="H4" t="str">
        <f>IF(ISBLANK(D4),IF(G4=1,VLOOKUP(E4,'Location Impute Tables'!$A$5:$J$9,10,0),VLOOKUP(E4,'Location Impute Tables'!$A$25:$J$29,10,0)),D4)</f>
        <v>Miami</v>
      </c>
      <c r="I4">
        <f>IF(ISBLANK(B4),IF(G4=1,VLOOKUP(H4,'Amount Impute Table'!$A$5:$F$9,MATCH(fraud_data!E4,'Amount Impute Table'!$B$4:$F$4,0)+1,FALSE),VLOOKUP(H4,'Amount Impute Table'!$A$16:$F$20,MATCH(E4,'Amount Impute Table'!$B$15:$F$15,0)+1,0)),B4)</f>
        <v>78.66</v>
      </c>
    </row>
    <row r="5" spans="1:9" x14ac:dyDescent="0.2">
      <c r="A5">
        <v>497</v>
      </c>
      <c r="B5">
        <v>584.07000000000005</v>
      </c>
      <c r="C5">
        <v>78623</v>
      </c>
      <c r="D5" t="s">
        <v>10</v>
      </c>
      <c r="E5" t="s">
        <v>12</v>
      </c>
      <c r="F5">
        <v>64</v>
      </c>
      <c r="G5">
        <v>1</v>
      </c>
      <c r="H5" t="str">
        <f>IF(ISBLANK(D5),IF(G5=1,VLOOKUP(E5,'Location Impute Tables'!$A$5:$J$9,10,0),VLOOKUP(E5,'Location Impute Tables'!$A$25:$J$29,10,0)),D5)</f>
        <v>Miami</v>
      </c>
      <c r="I5">
        <f>IF(ISBLANK(B5),IF(G5=1,VLOOKUP(H5,'Amount Impute Table'!$A$5:$F$9,MATCH(fraud_data!E5,'Amount Impute Table'!$B$4:$F$4,0)+1,FALSE),VLOOKUP(H5,'Amount Impute Table'!$A$16:$F$20,MATCH(E5,'Amount Impute Table'!$B$15:$F$15,0)+1,0)),B5)</f>
        <v>584.07000000000005</v>
      </c>
    </row>
    <row r="6" spans="1:9" x14ac:dyDescent="0.2">
      <c r="A6">
        <v>496</v>
      </c>
      <c r="B6">
        <v>354</v>
      </c>
      <c r="C6">
        <v>48770</v>
      </c>
      <c r="D6" t="s">
        <v>13</v>
      </c>
      <c r="E6" t="s">
        <v>14</v>
      </c>
      <c r="F6">
        <v>21</v>
      </c>
      <c r="G6">
        <v>0</v>
      </c>
      <c r="H6" t="str">
        <f>IF(ISBLANK(D6),IF(G6=1,VLOOKUP(E6,'Location Impute Tables'!$A$5:$J$9,10,0),VLOOKUP(E6,'Location Impute Tables'!$A$25:$J$29,10,0)),D6)</f>
        <v>Houston</v>
      </c>
      <c r="I6">
        <f>IF(ISBLANK(B6),IF(G6=1,VLOOKUP(H6,'Amount Impute Table'!$A$5:$F$9,MATCH(fraud_data!E6,'Amount Impute Table'!$B$4:$F$4,0)+1,FALSE),VLOOKUP(H6,'Amount Impute Table'!$A$16:$F$20,MATCH(E6,'Amount Impute Table'!$B$15:$F$15,0)+1,0)),B6)</f>
        <v>354</v>
      </c>
    </row>
    <row r="7" spans="1:9" x14ac:dyDescent="0.2">
      <c r="A7">
        <v>495</v>
      </c>
      <c r="B7">
        <v>464.23</v>
      </c>
      <c r="C7">
        <v>40806</v>
      </c>
      <c r="D7" t="s">
        <v>15</v>
      </c>
      <c r="E7" t="s">
        <v>8</v>
      </c>
      <c r="F7">
        <v>75</v>
      </c>
      <c r="G7">
        <v>0</v>
      </c>
      <c r="H7" t="str">
        <f>IF(ISBLANK(D7),IF(G7=1,VLOOKUP(E7,'Location Impute Tables'!$A$5:$J$9,10,0),VLOOKUP(E7,'Location Impute Tables'!$A$25:$J$29,10,0)),D7)</f>
        <v>New York</v>
      </c>
      <c r="I7">
        <f>IF(ISBLANK(B7),IF(G7=1,VLOOKUP(H7,'Amount Impute Table'!$A$5:$F$9,MATCH(fraud_data!E7,'Amount Impute Table'!$B$4:$F$4,0)+1,FALSE),VLOOKUP(H7,'Amount Impute Table'!$A$16:$F$20,MATCH(E7,'Amount Impute Table'!$B$15:$F$15,0)+1,0)),B7)</f>
        <v>464.23</v>
      </c>
    </row>
    <row r="8" spans="1:9" x14ac:dyDescent="0.2">
      <c r="A8">
        <v>494</v>
      </c>
      <c r="B8">
        <v>188.93</v>
      </c>
      <c r="C8">
        <v>12342</v>
      </c>
      <c r="D8" t="s">
        <v>15</v>
      </c>
      <c r="E8" t="s">
        <v>12</v>
      </c>
      <c r="F8">
        <v>54</v>
      </c>
      <c r="G8">
        <v>0</v>
      </c>
      <c r="H8" t="str">
        <f>IF(ISBLANK(D8),IF(G8=1,VLOOKUP(E8,'Location Impute Tables'!$A$5:$J$9,10,0),VLOOKUP(E8,'Location Impute Tables'!$A$25:$J$29,10,0)),D8)</f>
        <v>New York</v>
      </c>
      <c r="I8">
        <f>IF(ISBLANK(B8),IF(G8=1,VLOOKUP(H8,'Amount Impute Table'!$A$5:$F$9,MATCH(fraud_data!E8,'Amount Impute Table'!$B$4:$F$4,0)+1,FALSE),VLOOKUP(H8,'Amount Impute Table'!$A$16:$F$20,MATCH(E8,'Amount Impute Table'!$B$15:$F$15,0)+1,0)),B8)</f>
        <v>188.93</v>
      </c>
    </row>
    <row r="9" spans="1:9" x14ac:dyDescent="0.2">
      <c r="A9">
        <v>493</v>
      </c>
      <c r="B9">
        <v>278.10000000000002</v>
      </c>
      <c r="C9">
        <v>52487</v>
      </c>
      <c r="D9" t="s">
        <v>13</v>
      </c>
      <c r="E9" t="s">
        <v>14</v>
      </c>
      <c r="F9">
        <v>36</v>
      </c>
      <c r="G9">
        <v>0</v>
      </c>
      <c r="H9" t="str">
        <f>IF(ISBLANK(D9),IF(G9=1,VLOOKUP(E9,'Location Impute Tables'!$A$5:$J$9,10,0),VLOOKUP(E9,'Location Impute Tables'!$A$25:$J$29,10,0)),D9)</f>
        <v>Houston</v>
      </c>
      <c r="I9">
        <f>IF(ISBLANK(B9),IF(G9=1,VLOOKUP(H9,'Amount Impute Table'!$A$5:$F$9,MATCH(fraud_data!E9,'Amount Impute Table'!$B$4:$F$4,0)+1,FALSE),VLOOKUP(H9,'Amount Impute Table'!$A$16:$F$20,MATCH(E9,'Amount Impute Table'!$B$15:$F$15,0)+1,0)),B9)</f>
        <v>278.10000000000002</v>
      </c>
    </row>
    <row r="10" spans="1:9" x14ac:dyDescent="0.2">
      <c r="A10">
        <v>492</v>
      </c>
      <c r="B10">
        <v>620.51</v>
      </c>
      <c r="C10">
        <v>55168</v>
      </c>
      <c r="D10" t="s">
        <v>13</v>
      </c>
      <c r="E10" t="s">
        <v>12</v>
      </c>
      <c r="F10">
        <v>73</v>
      </c>
      <c r="G10">
        <v>0</v>
      </c>
      <c r="H10" t="str">
        <f>IF(ISBLANK(D10),IF(G10=1,VLOOKUP(E10,'Location Impute Tables'!$A$5:$J$9,10,0),VLOOKUP(E10,'Location Impute Tables'!$A$25:$J$29,10,0)),D10)</f>
        <v>Houston</v>
      </c>
      <c r="I10">
        <f>IF(ISBLANK(B10),IF(G10=1,VLOOKUP(H10,'Amount Impute Table'!$A$5:$F$9,MATCH(fraud_data!E10,'Amount Impute Table'!$B$4:$F$4,0)+1,FALSE),VLOOKUP(H10,'Amount Impute Table'!$A$16:$F$20,MATCH(E10,'Amount Impute Table'!$B$15:$F$15,0)+1,0)),B10)</f>
        <v>620.51</v>
      </c>
    </row>
    <row r="11" spans="1:9" x14ac:dyDescent="0.2">
      <c r="A11">
        <v>491</v>
      </c>
      <c r="B11">
        <v>456.2</v>
      </c>
      <c r="C11">
        <v>65155</v>
      </c>
      <c r="D11" t="s">
        <v>13</v>
      </c>
      <c r="E11" t="s">
        <v>8</v>
      </c>
      <c r="F11">
        <v>23</v>
      </c>
      <c r="G11">
        <v>0</v>
      </c>
      <c r="H11" t="str">
        <f>IF(ISBLANK(D11),IF(G11=1,VLOOKUP(E11,'Location Impute Tables'!$A$5:$J$9,10,0),VLOOKUP(E11,'Location Impute Tables'!$A$25:$J$29,10,0)),D11)</f>
        <v>Houston</v>
      </c>
      <c r="I11">
        <f>IF(ISBLANK(B11),IF(G11=1,VLOOKUP(H11,'Amount Impute Table'!$A$5:$F$9,MATCH(fraud_data!E11,'Amount Impute Table'!$B$4:$F$4,0)+1,FALSE),VLOOKUP(H11,'Amount Impute Table'!$A$16:$F$20,MATCH(E11,'Amount Impute Table'!$B$15:$F$15,0)+1,0)),B11)</f>
        <v>456.2</v>
      </c>
    </row>
    <row r="12" spans="1:9" x14ac:dyDescent="0.2">
      <c r="A12">
        <v>490</v>
      </c>
      <c r="B12">
        <v>890.37</v>
      </c>
      <c r="C12">
        <v>25522</v>
      </c>
      <c r="D12" t="s">
        <v>15</v>
      </c>
      <c r="E12" t="s">
        <v>16</v>
      </c>
      <c r="G12">
        <v>0</v>
      </c>
      <c r="H12" t="str">
        <f>IF(ISBLANK(D12),IF(G12=1,VLOOKUP(E12,'Location Impute Tables'!$A$5:$J$9,10,0),VLOOKUP(E12,'Location Impute Tables'!$A$25:$J$29,10,0)),D12)</f>
        <v>New York</v>
      </c>
      <c r="I12">
        <f>IF(ISBLANK(B12),IF(G12=1,VLOOKUP(H12,'Amount Impute Table'!$A$5:$F$9,MATCH(fraud_data!E12,'Amount Impute Table'!$B$4:$F$4,0)+1,FALSE),VLOOKUP(H12,'Amount Impute Table'!$A$16:$F$20,MATCH(E12,'Amount Impute Table'!$B$15:$F$15,0)+1,0)),B12)</f>
        <v>890.37</v>
      </c>
    </row>
    <row r="13" spans="1:9" x14ac:dyDescent="0.2">
      <c r="A13">
        <v>489</v>
      </c>
      <c r="B13">
        <v>950.46</v>
      </c>
      <c r="C13">
        <v>38565</v>
      </c>
      <c r="D13" t="s">
        <v>15</v>
      </c>
      <c r="E13" t="s">
        <v>14</v>
      </c>
      <c r="F13">
        <v>48</v>
      </c>
      <c r="G13">
        <v>0</v>
      </c>
      <c r="H13" t="str">
        <f>IF(ISBLANK(D13),IF(G13=1,VLOOKUP(E13,'Location Impute Tables'!$A$5:$J$9,10,0),VLOOKUP(E13,'Location Impute Tables'!$A$25:$J$29,10,0)),D13)</f>
        <v>New York</v>
      </c>
      <c r="I13">
        <f>IF(ISBLANK(B13),IF(G13=1,VLOOKUP(H13,'Amount Impute Table'!$A$5:$F$9,MATCH(fraud_data!E13,'Amount Impute Table'!$B$4:$F$4,0)+1,FALSE),VLOOKUP(H13,'Amount Impute Table'!$A$16:$F$20,MATCH(E13,'Amount Impute Table'!$B$15:$F$15,0)+1,0)),B13)</f>
        <v>950.46</v>
      </c>
    </row>
    <row r="14" spans="1:9" x14ac:dyDescent="0.2">
      <c r="A14">
        <v>488</v>
      </c>
      <c r="B14">
        <v>281.68</v>
      </c>
      <c r="C14">
        <v>11485</v>
      </c>
      <c r="D14" t="s">
        <v>13</v>
      </c>
      <c r="E14" t="s">
        <v>12</v>
      </c>
      <c r="F14">
        <v>68</v>
      </c>
      <c r="G14">
        <v>0</v>
      </c>
      <c r="H14" t="str">
        <f>IF(ISBLANK(D14),IF(G14=1,VLOOKUP(E14,'Location Impute Tables'!$A$5:$J$9,10,0),VLOOKUP(E14,'Location Impute Tables'!$A$25:$J$29,10,0)),D14)</f>
        <v>Houston</v>
      </c>
      <c r="I14">
        <f>IF(ISBLANK(B14),IF(G14=1,VLOOKUP(H14,'Amount Impute Table'!$A$5:$F$9,MATCH(fraud_data!E14,'Amount Impute Table'!$B$4:$F$4,0)+1,FALSE),VLOOKUP(H14,'Amount Impute Table'!$A$16:$F$20,MATCH(E14,'Amount Impute Table'!$B$15:$F$15,0)+1,0)),B14)</f>
        <v>281.68</v>
      </c>
    </row>
    <row r="15" spans="1:9" x14ac:dyDescent="0.2">
      <c r="A15">
        <v>487</v>
      </c>
      <c r="B15">
        <v>46.4</v>
      </c>
      <c r="C15">
        <v>26737</v>
      </c>
      <c r="D15" t="s">
        <v>7</v>
      </c>
      <c r="E15" t="s">
        <v>16</v>
      </c>
      <c r="F15">
        <v>33</v>
      </c>
      <c r="G15">
        <v>0</v>
      </c>
      <c r="H15" t="str">
        <f>IF(ISBLANK(D15),IF(G15=1,VLOOKUP(E15,'Location Impute Tables'!$A$5:$J$9,10,0),VLOOKUP(E15,'Location Impute Tables'!$A$25:$J$29,10,0)),D15)</f>
        <v>Chicago</v>
      </c>
      <c r="I15">
        <f>IF(ISBLANK(B15),IF(G15=1,VLOOKUP(H15,'Amount Impute Table'!$A$5:$F$9,MATCH(fraud_data!E15,'Amount Impute Table'!$B$4:$F$4,0)+1,FALSE),VLOOKUP(H15,'Amount Impute Table'!$A$16:$F$20,MATCH(E15,'Amount Impute Table'!$B$15:$F$15,0)+1,0)),B15)</f>
        <v>46.4</v>
      </c>
    </row>
    <row r="16" spans="1:9" x14ac:dyDescent="0.2">
      <c r="A16">
        <v>486</v>
      </c>
      <c r="B16">
        <v>901.26</v>
      </c>
      <c r="C16">
        <v>38000</v>
      </c>
      <c r="D16" t="s">
        <v>9</v>
      </c>
      <c r="E16" t="s">
        <v>16</v>
      </c>
      <c r="F16">
        <v>28</v>
      </c>
      <c r="G16">
        <v>0</v>
      </c>
      <c r="H16" t="str">
        <f>IF(ISBLANK(D16),IF(G16=1,VLOOKUP(E16,'Location Impute Tables'!$A$5:$J$9,10,0),VLOOKUP(E16,'Location Impute Tables'!$A$25:$J$29,10,0)),D16)</f>
        <v>Los Angeles</v>
      </c>
      <c r="I16">
        <f>IF(ISBLANK(B16),IF(G16=1,VLOOKUP(H16,'Amount Impute Table'!$A$5:$F$9,MATCH(fraud_data!E16,'Amount Impute Table'!$B$4:$F$4,0)+1,FALSE),VLOOKUP(H16,'Amount Impute Table'!$A$16:$F$20,MATCH(E16,'Amount Impute Table'!$B$15:$F$15,0)+1,0)),B16)</f>
        <v>901.26</v>
      </c>
    </row>
    <row r="17" spans="1:9" x14ac:dyDescent="0.2">
      <c r="A17">
        <v>485</v>
      </c>
      <c r="C17">
        <v>6645</v>
      </c>
      <c r="D17" t="s">
        <v>13</v>
      </c>
      <c r="E17" t="s">
        <v>14</v>
      </c>
      <c r="F17">
        <v>37</v>
      </c>
      <c r="G17">
        <v>0</v>
      </c>
      <c r="H17" t="str">
        <f>IF(ISBLANK(D17),IF(G17=1,VLOOKUP(E17,'Location Impute Tables'!$A$5:$J$9,10,0),VLOOKUP(E17,'Location Impute Tables'!$A$25:$J$29,10,0)),D17)</f>
        <v>Houston</v>
      </c>
      <c r="I17">
        <f>IF(ISBLANK(B17),IF(G17=1,VLOOKUP(H17,'Amount Impute Table'!$A$5:$F$9,MATCH(fraud_data!E17,'Amount Impute Table'!$B$4:$F$4,0)+1,FALSE),VLOOKUP(H17,'Amount Impute Table'!$A$16:$F$20,MATCH(E17,'Amount Impute Table'!$B$15:$F$15,0)+1,0)),B17)</f>
        <v>471.92071428571433</v>
      </c>
    </row>
    <row r="18" spans="1:9" x14ac:dyDescent="0.2">
      <c r="A18">
        <v>484</v>
      </c>
      <c r="B18">
        <v>627.92999999999995</v>
      </c>
      <c r="C18">
        <v>28865</v>
      </c>
      <c r="D18" t="s">
        <v>10</v>
      </c>
      <c r="E18" t="s">
        <v>8</v>
      </c>
      <c r="F18">
        <v>74</v>
      </c>
      <c r="G18">
        <v>0</v>
      </c>
      <c r="H18" t="str">
        <f>IF(ISBLANK(D18),IF(G18=1,VLOOKUP(E18,'Location Impute Tables'!$A$5:$J$9,10,0),VLOOKUP(E18,'Location Impute Tables'!$A$25:$J$29,10,0)),D18)</f>
        <v>Miami</v>
      </c>
      <c r="I18">
        <f>IF(ISBLANK(B18),IF(G18=1,VLOOKUP(H18,'Amount Impute Table'!$A$5:$F$9,MATCH(fraud_data!E18,'Amount Impute Table'!$B$4:$F$4,0)+1,FALSE),VLOOKUP(H18,'Amount Impute Table'!$A$16:$F$20,MATCH(E18,'Amount Impute Table'!$B$15:$F$15,0)+1,0)),B18)</f>
        <v>627.92999999999995</v>
      </c>
    </row>
    <row r="19" spans="1:9" x14ac:dyDescent="0.2">
      <c r="A19">
        <v>483</v>
      </c>
      <c r="B19">
        <v>455.09</v>
      </c>
      <c r="C19">
        <v>48302</v>
      </c>
      <c r="D19" t="s">
        <v>13</v>
      </c>
      <c r="E19" t="s">
        <v>12</v>
      </c>
      <c r="F19">
        <v>70</v>
      </c>
      <c r="G19">
        <v>0</v>
      </c>
      <c r="H19" t="str">
        <f>IF(ISBLANK(D19),IF(G19=1,VLOOKUP(E19,'Location Impute Tables'!$A$5:$J$9,10,0),VLOOKUP(E19,'Location Impute Tables'!$A$25:$J$29,10,0)),D19)</f>
        <v>Houston</v>
      </c>
      <c r="I19">
        <f>IF(ISBLANK(B19),IF(G19=1,VLOOKUP(H19,'Amount Impute Table'!$A$5:$F$9,MATCH(fraud_data!E19,'Amount Impute Table'!$B$4:$F$4,0)+1,FALSE),VLOOKUP(H19,'Amount Impute Table'!$A$16:$F$20,MATCH(E19,'Amount Impute Table'!$B$15:$F$15,0)+1,0)),B19)</f>
        <v>455.09</v>
      </c>
    </row>
    <row r="20" spans="1:9" x14ac:dyDescent="0.2">
      <c r="A20">
        <v>482</v>
      </c>
      <c r="B20">
        <v>696.05</v>
      </c>
      <c r="C20">
        <v>38258</v>
      </c>
      <c r="D20" t="s">
        <v>10</v>
      </c>
      <c r="E20" t="s">
        <v>16</v>
      </c>
      <c r="F20">
        <v>51</v>
      </c>
      <c r="G20">
        <v>0</v>
      </c>
      <c r="H20" t="str">
        <f>IF(ISBLANK(D20),IF(G20=1,VLOOKUP(E20,'Location Impute Tables'!$A$5:$J$9,10,0),VLOOKUP(E20,'Location Impute Tables'!$A$25:$J$29,10,0)),D20)</f>
        <v>Miami</v>
      </c>
      <c r="I20">
        <f>IF(ISBLANK(B20),IF(G20=1,VLOOKUP(H20,'Amount Impute Table'!$A$5:$F$9,MATCH(fraud_data!E20,'Amount Impute Table'!$B$4:$F$4,0)+1,FALSE),VLOOKUP(H20,'Amount Impute Table'!$A$16:$F$20,MATCH(E20,'Amount Impute Table'!$B$15:$F$15,0)+1,0)),B20)</f>
        <v>696.05</v>
      </c>
    </row>
    <row r="21" spans="1:9" x14ac:dyDescent="0.2">
      <c r="A21">
        <v>481</v>
      </c>
      <c r="B21">
        <v>629.77</v>
      </c>
      <c r="C21">
        <v>64077</v>
      </c>
      <c r="D21" t="s">
        <v>7</v>
      </c>
      <c r="E21" t="s">
        <v>14</v>
      </c>
      <c r="F21">
        <v>74</v>
      </c>
      <c r="G21">
        <v>0</v>
      </c>
      <c r="H21" t="str">
        <f>IF(ISBLANK(D21),IF(G21=1,VLOOKUP(E21,'Location Impute Tables'!$A$5:$J$9,10,0),VLOOKUP(E21,'Location Impute Tables'!$A$25:$J$29,10,0)),D21)</f>
        <v>Chicago</v>
      </c>
      <c r="I21">
        <f>IF(ISBLANK(B21),IF(G21=1,VLOOKUP(H21,'Amount Impute Table'!$A$5:$F$9,MATCH(fraud_data!E21,'Amount Impute Table'!$B$4:$F$4,0)+1,FALSE),VLOOKUP(H21,'Amount Impute Table'!$A$16:$F$20,MATCH(E21,'Amount Impute Table'!$B$15:$F$15,0)+1,0)),B21)</f>
        <v>629.77</v>
      </c>
    </row>
    <row r="22" spans="1:9" x14ac:dyDescent="0.2">
      <c r="A22">
        <v>480</v>
      </c>
      <c r="B22">
        <v>523.57000000000005</v>
      </c>
      <c r="C22">
        <v>33536</v>
      </c>
      <c r="D22" t="s">
        <v>13</v>
      </c>
      <c r="E22" t="s">
        <v>8</v>
      </c>
      <c r="F22">
        <v>31</v>
      </c>
      <c r="G22">
        <v>0</v>
      </c>
      <c r="H22" t="str">
        <f>IF(ISBLANK(D22),IF(G22=1,VLOOKUP(E22,'Location Impute Tables'!$A$5:$J$9,10,0),VLOOKUP(E22,'Location Impute Tables'!$A$25:$J$29,10,0)),D22)</f>
        <v>Houston</v>
      </c>
      <c r="I22">
        <f>IF(ISBLANK(B22),IF(G22=1,VLOOKUP(H22,'Amount Impute Table'!$A$5:$F$9,MATCH(fraud_data!E22,'Amount Impute Table'!$B$4:$F$4,0)+1,FALSE),VLOOKUP(H22,'Amount Impute Table'!$A$16:$F$20,MATCH(E22,'Amount Impute Table'!$B$15:$F$15,0)+1,0)),B22)</f>
        <v>523.57000000000005</v>
      </c>
    </row>
    <row r="23" spans="1:9" x14ac:dyDescent="0.2">
      <c r="A23">
        <v>479</v>
      </c>
      <c r="B23">
        <v>969.33</v>
      </c>
      <c r="C23">
        <v>18449</v>
      </c>
      <c r="D23" t="s">
        <v>9</v>
      </c>
      <c r="E23" t="s">
        <v>8</v>
      </c>
      <c r="F23">
        <v>31</v>
      </c>
      <c r="G23">
        <v>0</v>
      </c>
      <c r="H23" t="str">
        <f>IF(ISBLANK(D23),IF(G23=1,VLOOKUP(E23,'Location Impute Tables'!$A$5:$J$9,10,0),VLOOKUP(E23,'Location Impute Tables'!$A$25:$J$29,10,0)),D23)</f>
        <v>Los Angeles</v>
      </c>
      <c r="I23">
        <f>IF(ISBLANK(B23),IF(G23=1,VLOOKUP(H23,'Amount Impute Table'!$A$5:$F$9,MATCH(fraud_data!E23,'Amount Impute Table'!$B$4:$F$4,0)+1,FALSE),VLOOKUP(H23,'Amount Impute Table'!$A$16:$F$20,MATCH(E23,'Amount Impute Table'!$B$15:$F$15,0)+1,0)),B23)</f>
        <v>969.33</v>
      </c>
    </row>
    <row r="24" spans="1:9" x14ac:dyDescent="0.2">
      <c r="A24">
        <v>478</v>
      </c>
      <c r="B24">
        <v>554.29999999999995</v>
      </c>
      <c r="C24">
        <v>72847</v>
      </c>
      <c r="D24" t="s">
        <v>7</v>
      </c>
      <c r="E24" t="s">
        <v>16</v>
      </c>
      <c r="F24">
        <v>34</v>
      </c>
      <c r="G24">
        <v>0</v>
      </c>
      <c r="H24" t="str">
        <f>IF(ISBLANK(D24),IF(G24=1,VLOOKUP(E24,'Location Impute Tables'!$A$5:$J$9,10,0),VLOOKUP(E24,'Location Impute Tables'!$A$25:$J$29,10,0)),D24)</f>
        <v>Chicago</v>
      </c>
      <c r="I24">
        <f>IF(ISBLANK(B24),IF(G24=1,VLOOKUP(H24,'Amount Impute Table'!$A$5:$F$9,MATCH(fraud_data!E24,'Amount Impute Table'!$B$4:$F$4,0)+1,FALSE),VLOOKUP(H24,'Amount Impute Table'!$A$16:$F$20,MATCH(E24,'Amount Impute Table'!$B$15:$F$15,0)+1,0)),B24)</f>
        <v>554.29999999999995</v>
      </c>
    </row>
    <row r="25" spans="1:9" x14ac:dyDescent="0.2">
      <c r="A25">
        <v>477</v>
      </c>
      <c r="B25">
        <v>74.72</v>
      </c>
      <c r="C25">
        <v>42460</v>
      </c>
      <c r="D25" t="s">
        <v>10</v>
      </c>
      <c r="E25" t="s">
        <v>16</v>
      </c>
      <c r="F25">
        <v>29</v>
      </c>
      <c r="G25">
        <v>0</v>
      </c>
      <c r="H25" t="str">
        <f>IF(ISBLANK(D25),IF(G25=1,VLOOKUP(E25,'Location Impute Tables'!$A$5:$J$9,10,0),VLOOKUP(E25,'Location Impute Tables'!$A$25:$J$29,10,0)),D25)</f>
        <v>Miami</v>
      </c>
      <c r="I25">
        <f>IF(ISBLANK(B25),IF(G25=1,VLOOKUP(H25,'Amount Impute Table'!$A$5:$F$9,MATCH(fraud_data!E25,'Amount Impute Table'!$B$4:$F$4,0)+1,FALSE),VLOOKUP(H25,'Amount Impute Table'!$A$16:$F$20,MATCH(E25,'Amount Impute Table'!$B$15:$F$15,0)+1,0)),B25)</f>
        <v>74.72</v>
      </c>
    </row>
    <row r="26" spans="1:9" x14ac:dyDescent="0.2">
      <c r="A26">
        <v>476</v>
      </c>
      <c r="B26">
        <v>992.97</v>
      </c>
      <c r="C26">
        <v>27952</v>
      </c>
      <c r="D26" t="s">
        <v>10</v>
      </c>
      <c r="E26" t="s">
        <v>14</v>
      </c>
      <c r="F26">
        <v>71</v>
      </c>
      <c r="G26">
        <v>0</v>
      </c>
      <c r="H26" t="str">
        <f>IF(ISBLANK(D26),IF(G26=1,VLOOKUP(E26,'Location Impute Tables'!$A$5:$J$9,10,0),VLOOKUP(E26,'Location Impute Tables'!$A$25:$J$29,10,0)),D26)</f>
        <v>Miami</v>
      </c>
      <c r="I26">
        <f>IF(ISBLANK(B26),IF(G26=1,VLOOKUP(H26,'Amount Impute Table'!$A$5:$F$9,MATCH(fraud_data!E26,'Amount Impute Table'!$B$4:$F$4,0)+1,FALSE),VLOOKUP(H26,'Amount Impute Table'!$A$16:$F$20,MATCH(E26,'Amount Impute Table'!$B$15:$F$15,0)+1,0)),B26)</f>
        <v>992.97</v>
      </c>
    </row>
    <row r="27" spans="1:9" x14ac:dyDescent="0.2">
      <c r="A27">
        <v>475</v>
      </c>
      <c r="B27">
        <v>528.16999999999996</v>
      </c>
      <c r="C27">
        <v>59676</v>
      </c>
      <c r="D27" t="s">
        <v>15</v>
      </c>
      <c r="E27" t="s">
        <v>11</v>
      </c>
      <c r="F27">
        <v>75</v>
      </c>
      <c r="G27">
        <v>0</v>
      </c>
      <c r="H27" t="str">
        <f>IF(ISBLANK(D27),IF(G27=1,VLOOKUP(E27,'Location Impute Tables'!$A$5:$J$9,10,0),VLOOKUP(E27,'Location Impute Tables'!$A$25:$J$29,10,0)),D27)</f>
        <v>New York</v>
      </c>
      <c r="I27">
        <f>IF(ISBLANK(B27),IF(G27=1,VLOOKUP(H27,'Amount Impute Table'!$A$5:$F$9,MATCH(fraud_data!E27,'Amount Impute Table'!$B$4:$F$4,0)+1,FALSE),VLOOKUP(H27,'Amount Impute Table'!$A$16:$F$20,MATCH(E27,'Amount Impute Table'!$B$15:$F$15,0)+1,0)),B27)</f>
        <v>528.16999999999996</v>
      </c>
    </row>
    <row r="28" spans="1:9" x14ac:dyDescent="0.2">
      <c r="A28">
        <v>474</v>
      </c>
      <c r="B28">
        <v>891.25</v>
      </c>
      <c r="C28">
        <v>2717</v>
      </c>
      <c r="D28" t="s">
        <v>15</v>
      </c>
      <c r="E28" t="s">
        <v>16</v>
      </c>
      <c r="F28">
        <v>43</v>
      </c>
      <c r="G28">
        <v>0</v>
      </c>
      <c r="H28" t="str">
        <f>IF(ISBLANK(D28),IF(G28=1,VLOOKUP(E28,'Location Impute Tables'!$A$5:$J$9,10,0),VLOOKUP(E28,'Location Impute Tables'!$A$25:$J$29,10,0)),D28)</f>
        <v>New York</v>
      </c>
      <c r="I28">
        <f>IF(ISBLANK(B28),IF(G28=1,VLOOKUP(H28,'Amount Impute Table'!$A$5:$F$9,MATCH(fraud_data!E28,'Amount Impute Table'!$B$4:$F$4,0)+1,FALSE),VLOOKUP(H28,'Amount Impute Table'!$A$16:$F$20,MATCH(E28,'Amount Impute Table'!$B$15:$F$15,0)+1,0)),B28)</f>
        <v>891.25</v>
      </c>
    </row>
    <row r="29" spans="1:9" x14ac:dyDescent="0.2">
      <c r="A29">
        <v>473</v>
      </c>
      <c r="B29">
        <v>44.12</v>
      </c>
      <c r="C29">
        <v>2079</v>
      </c>
      <c r="D29" t="s">
        <v>13</v>
      </c>
      <c r="E29" t="s">
        <v>14</v>
      </c>
      <c r="F29">
        <v>59</v>
      </c>
      <c r="G29">
        <v>0</v>
      </c>
      <c r="H29" t="str">
        <f>IF(ISBLANK(D29),IF(G29=1,VLOOKUP(E29,'Location Impute Tables'!$A$5:$J$9,10,0),VLOOKUP(E29,'Location Impute Tables'!$A$25:$J$29,10,0)),D29)</f>
        <v>Houston</v>
      </c>
      <c r="I29">
        <f>IF(ISBLANK(B29),IF(G29=1,VLOOKUP(H29,'Amount Impute Table'!$A$5:$F$9,MATCH(fraud_data!E29,'Amount Impute Table'!$B$4:$F$4,0)+1,FALSE),VLOOKUP(H29,'Amount Impute Table'!$A$16:$F$20,MATCH(E29,'Amount Impute Table'!$B$15:$F$15,0)+1,0)),B29)</f>
        <v>44.12</v>
      </c>
    </row>
    <row r="30" spans="1:9" x14ac:dyDescent="0.2">
      <c r="A30">
        <v>472</v>
      </c>
      <c r="B30">
        <v>969.91</v>
      </c>
      <c r="C30">
        <v>58066</v>
      </c>
      <c r="D30" t="s">
        <v>7</v>
      </c>
      <c r="E30" t="s">
        <v>11</v>
      </c>
      <c r="F30">
        <v>39</v>
      </c>
      <c r="G30">
        <v>0</v>
      </c>
      <c r="H30" t="str">
        <f>IF(ISBLANK(D30),IF(G30=1,VLOOKUP(E30,'Location Impute Tables'!$A$5:$J$9,10,0),VLOOKUP(E30,'Location Impute Tables'!$A$25:$J$29,10,0)),D30)</f>
        <v>Chicago</v>
      </c>
      <c r="I30">
        <f>IF(ISBLANK(B30),IF(G30=1,VLOOKUP(H30,'Amount Impute Table'!$A$5:$F$9,MATCH(fraud_data!E30,'Amount Impute Table'!$B$4:$F$4,0)+1,FALSE),VLOOKUP(H30,'Amount Impute Table'!$A$16:$F$20,MATCH(E30,'Amount Impute Table'!$B$15:$F$15,0)+1,0)),B30)</f>
        <v>969.91</v>
      </c>
    </row>
    <row r="31" spans="1:9" x14ac:dyDescent="0.2">
      <c r="A31">
        <v>471</v>
      </c>
      <c r="B31">
        <v>13.14</v>
      </c>
      <c r="C31">
        <v>33719</v>
      </c>
      <c r="D31" t="s">
        <v>13</v>
      </c>
      <c r="E31" t="s">
        <v>16</v>
      </c>
      <c r="F31">
        <v>53</v>
      </c>
      <c r="G31">
        <v>0</v>
      </c>
      <c r="H31" t="str">
        <f>IF(ISBLANK(D31),IF(G31=1,VLOOKUP(E31,'Location Impute Tables'!$A$5:$J$9,10,0),VLOOKUP(E31,'Location Impute Tables'!$A$25:$J$29,10,0)),D31)</f>
        <v>Houston</v>
      </c>
      <c r="I31">
        <f>IF(ISBLANK(B31),IF(G31=1,VLOOKUP(H31,'Amount Impute Table'!$A$5:$F$9,MATCH(fraud_data!E31,'Amount Impute Table'!$B$4:$F$4,0)+1,FALSE),VLOOKUP(H31,'Amount Impute Table'!$A$16:$F$20,MATCH(E31,'Amount Impute Table'!$B$15:$F$15,0)+1,0)),B31)</f>
        <v>13.14</v>
      </c>
    </row>
    <row r="32" spans="1:9" x14ac:dyDescent="0.2">
      <c r="A32">
        <v>470</v>
      </c>
      <c r="B32">
        <v>963.26</v>
      </c>
      <c r="C32">
        <v>24442</v>
      </c>
      <c r="D32" t="s">
        <v>9</v>
      </c>
      <c r="E32" t="s">
        <v>16</v>
      </c>
      <c r="F32">
        <v>69</v>
      </c>
      <c r="G32">
        <v>0</v>
      </c>
      <c r="H32" t="str">
        <f>IF(ISBLANK(D32),IF(G32=1,VLOOKUP(E32,'Location Impute Tables'!$A$5:$J$9,10,0),VLOOKUP(E32,'Location Impute Tables'!$A$25:$J$29,10,0)),D32)</f>
        <v>Los Angeles</v>
      </c>
      <c r="I32">
        <f>IF(ISBLANK(B32),IF(G32=1,VLOOKUP(H32,'Amount Impute Table'!$A$5:$F$9,MATCH(fraud_data!E32,'Amount Impute Table'!$B$4:$F$4,0)+1,FALSE),VLOOKUP(H32,'Amount Impute Table'!$A$16:$F$20,MATCH(E32,'Amount Impute Table'!$B$15:$F$15,0)+1,0)),B32)</f>
        <v>963.26</v>
      </c>
    </row>
    <row r="33" spans="1:9" x14ac:dyDescent="0.2">
      <c r="A33">
        <v>469</v>
      </c>
      <c r="B33">
        <v>224.37</v>
      </c>
      <c r="C33">
        <v>2482</v>
      </c>
      <c r="D33" t="s">
        <v>13</v>
      </c>
      <c r="E33" t="s">
        <v>8</v>
      </c>
      <c r="F33">
        <v>26</v>
      </c>
      <c r="G33">
        <v>0</v>
      </c>
      <c r="H33" t="str">
        <f>IF(ISBLANK(D33),IF(G33=1,VLOOKUP(E33,'Location Impute Tables'!$A$5:$J$9,10,0),VLOOKUP(E33,'Location Impute Tables'!$A$25:$J$29,10,0)),D33)</f>
        <v>Houston</v>
      </c>
      <c r="I33">
        <f>IF(ISBLANK(B33),IF(G33=1,VLOOKUP(H33,'Amount Impute Table'!$A$5:$F$9,MATCH(fraud_data!E33,'Amount Impute Table'!$B$4:$F$4,0)+1,FALSE),VLOOKUP(H33,'Amount Impute Table'!$A$16:$F$20,MATCH(E33,'Amount Impute Table'!$B$15:$F$15,0)+1,0)),B33)</f>
        <v>224.37</v>
      </c>
    </row>
    <row r="34" spans="1:9" x14ac:dyDescent="0.2">
      <c r="A34">
        <v>468</v>
      </c>
      <c r="C34">
        <v>41949</v>
      </c>
      <c r="D34" t="s">
        <v>15</v>
      </c>
      <c r="E34" t="s">
        <v>16</v>
      </c>
      <c r="F34">
        <v>30</v>
      </c>
      <c r="G34">
        <v>0</v>
      </c>
      <c r="H34" t="str">
        <f>IF(ISBLANK(D34),IF(G34=1,VLOOKUP(E34,'Location Impute Tables'!$A$5:$J$9,10,0),VLOOKUP(E34,'Location Impute Tables'!$A$25:$J$29,10,0)),D34)</f>
        <v>New York</v>
      </c>
      <c r="I34">
        <f>IF(ISBLANK(B34),IF(G34=1,VLOOKUP(H34,'Amount Impute Table'!$A$5:$F$9,MATCH(fraud_data!E34,'Amount Impute Table'!$B$4:$F$4,0)+1,FALSE),VLOOKUP(H34,'Amount Impute Table'!$A$16:$F$20,MATCH(E34,'Amount Impute Table'!$B$15:$F$15,0)+1,0)),B34)</f>
        <v>904.33649430608557</v>
      </c>
    </row>
    <row r="35" spans="1:9" x14ac:dyDescent="0.2">
      <c r="A35">
        <v>467</v>
      </c>
      <c r="B35">
        <v>286.43</v>
      </c>
      <c r="C35">
        <v>1759</v>
      </c>
      <c r="D35" t="s">
        <v>15</v>
      </c>
      <c r="E35" t="s">
        <v>8</v>
      </c>
      <c r="F35">
        <v>65</v>
      </c>
      <c r="G35">
        <v>0</v>
      </c>
      <c r="H35" t="str">
        <f>IF(ISBLANK(D35),IF(G35=1,VLOOKUP(E35,'Location Impute Tables'!$A$5:$J$9,10,0),VLOOKUP(E35,'Location Impute Tables'!$A$25:$J$29,10,0)),D35)</f>
        <v>New York</v>
      </c>
      <c r="I35">
        <f>IF(ISBLANK(B35),IF(G35=1,VLOOKUP(H35,'Amount Impute Table'!$A$5:$F$9,MATCH(fraud_data!E35,'Amount Impute Table'!$B$4:$F$4,0)+1,FALSE),VLOOKUP(H35,'Amount Impute Table'!$A$16:$F$20,MATCH(E35,'Amount Impute Table'!$B$15:$F$15,0)+1,0)),B35)</f>
        <v>286.43</v>
      </c>
    </row>
    <row r="36" spans="1:9" x14ac:dyDescent="0.2">
      <c r="A36">
        <v>466</v>
      </c>
      <c r="B36">
        <v>375.5</v>
      </c>
      <c r="C36">
        <v>75520</v>
      </c>
      <c r="D36" t="s">
        <v>7</v>
      </c>
      <c r="E36" t="s">
        <v>12</v>
      </c>
      <c r="F36">
        <v>58</v>
      </c>
      <c r="G36">
        <v>0</v>
      </c>
      <c r="H36" t="str">
        <f>IF(ISBLANK(D36),IF(G36=1,VLOOKUP(E36,'Location Impute Tables'!$A$5:$J$9,10,0),VLOOKUP(E36,'Location Impute Tables'!$A$25:$J$29,10,0)),D36)</f>
        <v>Chicago</v>
      </c>
      <c r="I36">
        <f>IF(ISBLANK(B36),IF(G36=1,VLOOKUP(H36,'Amount Impute Table'!$A$5:$F$9,MATCH(fraud_data!E36,'Amount Impute Table'!$B$4:$F$4,0)+1,FALSE),VLOOKUP(H36,'Amount Impute Table'!$A$16:$F$20,MATCH(E36,'Amount Impute Table'!$B$15:$F$15,0)+1,0)),B36)</f>
        <v>375.5</v>
      </c>
    </row>
    <row r="37" spans="1:9" x14ac:dyDescent="0.2">
      <c r="A37">
        <v>465</v>
      </c>
      <c r="B37">
        <v>962.21</v>
      </c>
      <c r="C37">
        <v>20806</v>
      </c>
      <c r="D37" t="s">
        <v>10</v>
      </c>
      <c r="E37" t="s">
        <v>8</v>
      </c>
      <c r="F37">
        <v>19</v>
      </c>
      <c r="G37">
        <v>0</v>
      </c>
      <c r="H37" t="str">
        <f>IF(ISBLANK(D37),IF(G37=1,VLOOKUP(E37,'Location Impute Tables'!$A$5:$J$9,10,0),VLOOKUP(E37,'Location Impute Tables'!$A$25:$J$29,10,0)),D37)</f>
        <v>Miami</v>
      </c>
      <c r="I37">
        <f>IF(ISBLANK(B37),IF(G37=1,VLOOKUP(H37,'Amount Impute Table'!$A$5:$F$9,MATCH(fraud_data!E37,'Amount Impute Table'!$B$4:$F$4,0)+1,FALSE),VLOOKUP(H37,'Amount Impute Table'!$A$16:$F$20,MATCH(E37,'Amount Impute Table'!$B$15:$F$15,0)+1,0)),B37)</f>
        <v>962.21</v>
      </c>
    </row>
    <row r="38" spans="1:9" x14ac:dyDescent="0.2">
      <c r="A38">
        <v>464</v>
      </c>
      <c r="B38">
        <v>583.79</v>
      </c>
      <c r="C38">
        <v>62823</v>
      </c>
      <c r="D38" t="s">
        <v>9</v>
      </c>
      <c r="E38" t="s">
        <v>14</v>
      </c>
      <c r="G38">
        <v>0</v>
      </c>
      <c r="H38" t="str">
        <f>IF(ISBLANK(D38),IF(G38=1,VLOOKUP(E38,'Location Impute Tables'!$A$5:$J$9,10,0),VLOOKUP(E38,'Location Impute Tables'!$A$25:$J$29,10,0)),D38)</f>
        <v>Los Angeles</v>
      </c>
      <c r="I38">
        <f>IF(ISBLANK(B38),IF(G38=1,VLOOKUP(H38,'Amount Impute Table'!$A$5:$F$9,MATCH(fraud_data!E38,'Amount Impute Table'!$B$4:$F$4,0)+1,FALSE),VLOOKUP(H38,'Amount Impute Table'!$A$16:$F$20,MATCH(E38,'Amount Impute Table'!$B$15:$F$15,0)+1,0)),B38)</f>
        <v>583.79</v>
      </c>
    </row>
    <row r="39" spans="1:9" x14ac:dyDescent="0.2">
      <c r="A39">
        <v>463</v>
      </c>
      <c r="B39">
        <v>746.3</v>
      </c>
      <c r="C39">
        <v>75452</v>
      </c>
      <c r="D39" t="s">
        <v>13</v>
      </c>
      <c r="E39" t="s">
        <v>14</v>
      </c>
      <c r="F39">
        <v>44</v>
      </c>
      <c r="G39">
        <v>0</v>
      </c>
      <c r="H39" t="str">
        <f>IF(ISBLANK(D39),IF(G39=1,VLOOKUP(E39,'Location Impute Tables'!$A$5:$J$9,10,0),VLOOKUP(E39,'Location Impute Tables'!$A$25:$J$29,10,0)),D39)</f>
        <v>Houston</v>
      </c>
      <c r="I39">
        <f>IF(ISBLANK(B39),IF(G39=1,VLOOKUP(H39,'Amount Impute Table'!$A$5:$F$9,MATCH(fraud_data!E39,'Amount Impute Table'!$B$4:$F$4,0)+1,FALSE),VLOOKUP(H39,'Amount Impute Table'!$A$16:$F$20,MATCH(E39,'Amount Impute Table'!$B$15:$F$15,0)+1,0)),B39)</f>
        <v>746.3</v>
      </c>
    </row>
    <row r="40" spans="1:9" x14ac:dyDescent="0.2">
      <c r="A40">
        <v>462</v>
      </c>
      <c r="B40">
        <v>649.55999999999995</v>
      </c>
      <c r="C40">
        <v>21566</v>
      </c>
      <c r="D40" t="s">
        <v>9</v>
      </c>
      <c r="E40" t="s">
        <v>14</v>
      </c>
      <c r="F40">
        <v>56</v>
      </c>
      <c r="G40">
        <v>0</v>
      </c>
      <c r="H40" t="str">
        <f>IF(ISBLANK(D40),IF(G40=1,VLOOKUP(E40,'Location Impute Tables'!$A$5:$J$9,10,0),VLOOKUP(E40,'Location Impute Tables'!$A$25:$J$29,10,0)),D40)</f>
        <v>Los Angeles</v>
      </c>
      <c r="I40">
        <f>IF(ISBLANK(B40),IF(G40=1,VLOOKUP(H40,'Amount Impute Table'!$A$5:$F$9,MATCH(fraud_data!E40,'Amount Impute Table'!$B$4:$F$4,0)+1,FALSE),VLOOKUP(H40,'Amount Impute Table'!$A$16:$F$20,MATCH(E40,'Amount Impute Table'!$B$15:$F$15,0)+1,0)),B40)</f>
        <v>649.55999999999995</v>
      </c>
    </row>
    <row r="41" spans="1:9" x14ac:dyDescent="0.2">
      <c r="A41">
        <v>461</v>
      </c>
      <c r="B41">
        <v>118.41</v>
      </c>
      <c r="C41">
        <v>24917</v>
      </c>
      <c r="D41" t="s">
        <v>15</v>
      </c>
      <c r="E41" t="s">
        <v>16</v>
      </c>
      <c r="F41">
        <v>63</v>
      </c>
      <c r="G41">
        <v>0</v>
      </c>
      <c r="H41" t="str">
        <f>IF(ISBLANK(D41),IF(G41=1,VLOOKUP(E41,'Location Impute Tables'!$A$5:$J$9,10,0),VLOOKUP(E41,'Location Impute Tables'!$A$25:$J$29,10,0)),D41)</f>
        <v>New York</v>
      </c>
      <c r="I41">
        <f>IF(ISBLANK(B41),IF(G41=1,VLOOKUP(H41,'Amount Impute Table'!$A$5:$F$9,MATCH(fraud_data!E41,'Amount Impute Table'!$B$4:$F$4,0)+1,FALSE),VLOOKUP(H41,'Amount Impute Table'!$A$16:$F$20,MATCH(E41,'Amount Impute Table'!$B$15:$F$15,0)+1,0)),B41)</f>
        <v>118.41</v>
      </c>
    </row>
    <row r="42" spans="1:9" x14ac:dyDescent="0.2">
      <c r="A42">
        <v>460</v>
      </c>
      <c r="B42">
        <v>119.7</v>
      </c>
      <c r="C42">
        <v>52853</v>
      </c>
      <c r="D42" t="s">
        <v>7</v>
      </c>
      <c r="E42" t="s">
        <v>12</v>
      </c>
      <c r="F42">
        <v>38</v>
      </c>
      <c r="G42">
        <v>0</v>
      </c>
      <c r="H42" t="str">
        <f>IF(ISBLANK(D42),IF(G42=1,VLOOKUP(E42,'Location Impute Tables'!$A$5:$J$9,10,0),VLOOKUP(E42,'Location Impute Tables'!$A$25:$J$29,10,0)),D42)</f>
        <v>Chicago</v>
      </c>
      <c r="I42">
        <f>IF(ISBLANK(B42),IF(G42=1,VLOOKUP(H42,'Amount Impute Table'!$A$5:$F$9,MATCH(fraud_data!E42,'Amount Impute Table'!$B$4:$F$4,0)+1,FALSE),VLOOKUP(H42,'Amount Impute Table'!$A$16:$F$20,MATCH(E42,'Amount Impute Table'!$B$15:$F$15,0)+1,0)),B42)</f>
        <v>119.7</v>
      </c>
    </row>
    <row r="43" spans="1:9" x14ac:dyDescent="0.2">
      <c r="A43">
        <v>459</v>
      </c>
      <c r="B43">
        <v>57.25</v>
      </c>
      <c r="C43">
        <v>49840</v>
      </c>
      <c r="D43" t="s">
        <v>7</v>
      </c>
      <c r="E43" t="s">
        <v>16</v>
      </c>
      <c r="F43">
        <v>27</v>
      </c>
      <c r="G43">
        <v>0</v>
      </c>
      <c r="H43" t="str">
        <f>IF(ISBLANK(D43),IF(G43=1,VLOOKUP(E43,'Location Impute Tables'!$A$5:$J$9,10,0),VLOOKUP(E43,'Location Impute Tables'!$A$25:$J$29,10,0)),D43)</f>
        <v>Chicago</v>
      </c>
      <c r="I43">
        <f>IF(ISBLANK(B43),IF(G43=1,VLOOKUP(H43,'Amount Impute Table'!$A$5:$F$9,MATCH(fraud_data!E43,'Amount Impute Table'!$B$4:$F$4,0)+1,FALSE),VLOOKUP(H43,'Amount Impute Table'!$A$16:$F$20,MATCH(E43,'Amount Impute Table'!$B$15:$F$15,0)+1,0)),B43)</f>
        <v>57.25</v>
      </c>
    </row>
    <row r="44" spans="1:9" x14ac:dyDescent="0.2">
      <c r="A44">
        <v>458</v>
      </c>
      <c r="B44">
        <v>469.19</v>
      </c>
      <c r="C44">
        <v>19816</v>
      </c>
      <c r="D44" t="s">
        <v>10</v>
      </c>
      <c r="E44" t="s">
        <v>16</v>
      </c>
      <c r="F44">
        <v>42</v>
      </c>
      <c r="G44">
        <v>0</v>
      </c>
      <c r="H44" t="str">
        <f>IF(ISBLANK(D44),IF(G44=1,VLOOKUP(E44,'Location Impute Tables'!$A$5:$J$9,10,0),VLOOKUP(E44,'Location Impute Tables'!$A$25:$J$29,10,0)),D44)</f>
        <v>Miami</v>
      </c>
      <c r="I44">
        <f>IF(ISBLANK(B44),IF(G44=1,VLOOKUP(H44,'Amount Impute Table'!$A$5:$F$9,MATCH(fraud_data!E44,'Amount Impute Table'!$B$4:$F$4,0)+1,FALSE),VLOOKUP(H44,'Amount Impute Table'!$A$16:$F$20,MATCH(E44,'Amount Impute Table'!$B$15:$F$15,0)+1,0)),B44)</f>
        <v>469.19</v>
      </c>
    </row>
    <row r="45" spans="1:9" x14ac:dyDescent="0.2">
      <c r="A45">
        <v>457</v>
      </c>
      <c r="B45">
        <v>12.34</v>
      </c>
      <c r="C45">
        <v>46163</v>
      </c>
      <c r="D45" t="s">
        <v>15</v>
      </c>
      <c r="E45" t="s">
        <v>12</v>
      </c>
      <c r="F45">
        <v>60</v>
      </c>
      <c r="G45">
        <v>0</v>
      </c>
      <c r="H45" t="str">
        <f>IF(ISBLANK(D45),IF(G45=1,VLOOKUP(E45,'Location Impute Tables'!$A$5:$J$9,10,0),VLOOKUP(E45,'Location Impute Tables'!$A$25:$J$29,10,0)),D45)</f>
        <v>New York</v>
      </c>
      <c r="I45">
        <f>IF(ISBLANK(B45),IF(G45=1,VLOOKUP(H45,'Amount Impute Table'!$A$5:$F$9,MATCH(fraud_data!E45,'Amount Impute Table'!$B$4:$F$4,0)+1,FALSE),VLOOKUP(H45,'Amount Impute Table'!$A$16:$F$20,MATCH(E45,'Amount Impute Table'!$B$15:$F$15,0)+1,0)),B45)</f>
        <v>12.34</v>
      </c>
    </row>
    <row r="46" spans="1:9" x14ac:dyDescent="0.2">
      <c r="A46">
        <v>456</v>
      </c>
      <c r="B46">
        <v>8293.5881936351107</v>
      </c>
      <c r="C46">
        <v>70480</v>
      </c>
      <c r="D46" t="s">
        <v>7</v>
      </c>
      <c r="E46" t="s">
        <v>11</v>
      </c>
      <c r="F46">
        <v>51</v>
      </c>
      <c r="G46">
        <v>0</v>
      </c>
      <c r="H46" t="str">
        <f>IF(ISBLANK(D46),IF(G46=1,VLOOKUP(E46,'Location Impute Tables'!$A$5:$J$9,10,0),VLOOKUP(E46,'Location Impute Tables'!$A$25:$J$29,10,0)),D46)</f>
        <v>Chicago</v>
      </c>
      <c r="I46">
        <f>IF(ISBLANK(B46),IF(G46=1,VLOOKUP(H46,'Amount Impute Table'!$A$5:$F$9,MATCH(fraud_data!E46,'Amount Impute Table'!$B$4:$F$4,0)+1,FALSE),VLOOKUP(H46,'Amount Impute Table'!$A$16:$F$20,MATCH(E46,'Amount Impute Table'!$B$15:$F$15,0)+1,0)),B46)</f>
        <v>8293.5881936351107</v>
      </c>
    </row>
    <row r="47" spans="1:9" x14ac:dyDescent="0.2">
      <c r="A47">
        <v>455</v>
      </c>
      <c r="B47">
        <v>112.09</v>
      </c>
      <c r="C47">
        <v>27696</v>
      </c>
      <c r="D47" t="s">
        <v>13</v>
      </c>
      <c r="E47" t="s">
        <v>8</v>
      </c>
      <c r="F47">
        <v>59</v>
      </c>
      <c r="G47">
        <v>0</v>
      </c>
      <c r="H47" t="str">
        <f>IF(ISBLANK(D47),IF(G47=1,VLOOKUP(E47,'Location Impute Tables'!$A$5:$J$9,10,0),VLOOKUP(E47,'Location Impute Tables'!$A$25:$J$29,10,0)),D47)</f>
        <v>Houston</v>
      </c>
      <c r="I47">
        <f>IF(ISBLANK(B47),IF(G47=1,VLOOKUP(H47,'Amount Impute Table'!$A$5:$F$9,MATCH(fraud_data!E47,'Amount Impute Table'!$B$4:$F$4,0)+1,FALSE),VLOOKUP(H47,'Amount Impute Table'!$A$16:$F$20,MATCH(E47,'Amount Impute Table'!$B$15:$F$15,0)+1,0)),B47)</f>
        <v>112.09</v>
      </c>
    </row>
    <row r="48" spans="1:9" x14ac:dyDescent="0.2">
      <c r="A48">
        <v>454</v>
      </c>
      <c r="B48">
        <v>906.45</v>
      </c>
      <c r="C48">
        <v>16241</v>
      </c>
      <c r="D48" t="s">
        <v>7</v>
      </c>
      <c r="E48" t="s">
        <v>12</v>
      </c>
      <c r="F48">
        <v>49</v>
      </c>
      <c r="G48">
        <v>0</v>
      </c>
      <c r="H48" t="str">
        <f>IF(ISBLANK(D48),IF(G48=1,VLOOKUP(E48,'Location Impute Tables'!$A$5:$J$9,10,0),VLOOKUP(E48,'Location Impute Tables'!$A$25:$J$29,10,0)),D48)</f>
        <v>Chicago</v>
      </c>
      <c r="I48">
        <f>IF(ISBLANK(B48),IF(G48=1,VLOOKUP(H48,'Amount Impute Table'!$A$5:$F$9,MATCH(fraud_data!E48,'Amount Impute Table'!$B$4:$F$4,0)+1,FALSE),VLOOKUP(H48,'Amount Impute Table'!$A$16:$F$20,MATCH(E48,'Amount Impute Table'!$B$15:$F$15,0)+1,0)),B48)</f>
        <v>906.45</v>
      </c>
    </row>
    <row r="49" spans="1:9" x14ac:dyDescent="0.2">
      <c r="A49">
        <v>453</v>
      </c>
      <c r="B49">
        <v>424.8</v>
      </c>
      <c r="C49">
        <v>10395</v>
      </c>
      <c r="D49" t="s">
        <v>10</v>
      </c>
      <c r="E49" t="s">
        <v>16</v>
      </c>
      <c r="F49">
        <v>52</v>
      </c>
      <c r="G49">
        <v>0</v>
      </c>
      <c r="H49" t="str">
        <f>IF(ISBLANK(D49),IF(G49=1,VLOOKUP(E49,'Location Impute Tables'!$A$5:$J$9,10,0),VLOOKUP(E49,'Location Impute Tables'!$A$25:$J$29,10,0)),D49)</f>
        <v>Miami</v>
      </c>
      <c r="I49">
        <f>IF(ISBLANK(B49),IF(G49=1,VLOOKUP(H49,'Amount Impute Table'!$A$5:$F$9,MATCH(fraud_data!E49,'Amount Impute Table'!$B$4:$F$4,0)+1,FALSE),VLOOKUP(H49,'Amount Impute Table'!$A$16:$F$20,MATCH(E49,'Amount Impute Table'!$B$15:$F$15,0)+1,0)),B49)</f>
        <v>424.8</v>
      </c>
    </row>
    <row r="50" spans="1:9" x14ac:dyDescent="0.2">
      <c r="A50">
        <v>452</v>
      </c>
      <c r="C50">
        <v>19097</v>
      </c>
      <c r="D50" t="s">
        <v>10</v>
      </c>
      <c r="E50" t="s">
        <v>12</v>
      </c>
      <c r="F50">
        <v>57</v>
      </c>
      <c r="G50">
        <v>0</v>
      </c>
      <c r="H50" t="str">
        <f>IF(ISBLANK(D50),IF(G50=1,VLOOKUP(E50,'Location Impute Tables'!$A$5:$J$9,10,0),VLOOKUP(E50,'Location Impute Tables'!$A$25:$J$29,10,0)),D50)</f>
        <v>Miami</v>
      </c>
      <c r="I50">
        <f>IF(ISBLANK(B50),IF(G50=1,VLOOKUP(H50,'Amount Impute Table'!$A$5:$F$9,MATCH(fraud_data!E50,'Amount Impute Table'!$B$4:$F$4,0)+1,FALSE),VLOOKUP(H50,'Amount Impute Table'!$A$16:$F$20,MATCH(E50,'Amount Impute Table'!$B$15:$F$15,0)+1,0)),B50)</f>
        <v>724.67005126139316</v>
      </c>
    </row>
    <row r="51" spans="1:9" x14ac:dyDescent="0.2">
      <c r="A51">
        <v>451</v>
      </c>
      <c r="B51">
        <v>777.37</v>
      </c>
      <c r="C51">
        <v>4757</v>
      </c>
      <c r="D51" t="s">
        <v>10</v>
      </c>
      <c r="E51" t="s">
        <v>11</v>
      </c>
      <c r="F51">
        <v>21</v>
      </c>
      <c r="G51">
        <v>0</v>
      </c>
      <c r="H51" t="str">
        <f>IF(ISBLANK(D51),IF(G51=1,VLOOKUP(E51,'Location Impute Tables'!$A$5:$J$9,10,0),VLOOKUP(E51,'Location Impute Tables'!$A$25:$J$29,10,0)),D51)</f>
        <v>Miami</v>
      </c>
      <c r="I51">
        <f>IF(ISBLANK(B51),IF(G51=1,VLOOKUP(H51,'Amount Impute Table'!$A$5:$F$9,MATCH(fraud_data!E51,'Amount Impute Table'!$B$4:$F$4,0)+1,FALSE),VLOOKUP(H51,'Amount Impute Table'!$A$16:$F$20,MATCH(E51,'Amount Impute Table'!$B$15:$F$15,0)+1,0)),B51)</f>
        <v>777.37</v>
      </c>
    </row>
    <row r="52" spans="1:9" x14ac:dyDescent="0.2">
      <c r="A52">
        <v>450</v>
      </c>
      <c r="B52">
        <v>84.42</v>
      </c>
      <c r="C52">
        <v>37148</v>
      </c>
      <c r="D52" t="s">
        <v>13</v>
      </c>
      <c r="E52" t="s">
        <v>12</v>
      </c>
      <c r="F52">
        <v>18</v>
      </c>
      <c r="G52">
        <v>0</v>
      </c>
      <c r="H52" t="str">
        <f>IF(ISBLANK(D52),IF(G52=1,VLOOKUP(E52,'Location Impute Tables'!$A$5:$J$9,10,0),VLOOKUP(E52,'Location Impute Tables'!$A$25:$J$29,10,0)),D52)</f>
        <v>Houston</v>
      </c>
      <c r="I52">
        <f>IF(ISBLANK(B52),IF(G52=1,VLOOKUP(H52,'Amount Impute Table'!$A$5:$F$9,MATCH(fraud_data!E52,'Amount Impute Table'!$B$4:$F$4,0)+1,FALSE),VLOOKUP(H52,'Amount Impute Table'!$A$16:$F$20,MATCH(E52,'Amount Impute Table'!$B$15:$F$15,0)+1,0)),B52)</f>
        <v>84.42</v>
      </c>
    </row>
    <row r="53" spans="1:9" x14ac:dyDescent="0.2">
      <c r="A53">
        <v>449</v>
      </c>
      <c r="B53">
        <v>376.88</v>
      </c>
      <c r="C53">
        <v>46240</v>
      </c>
      <c r="E53" t="s">
        <v>14</v>
      </c>
      <c r="F53">
        <v>20</v>
      </c>
      <c r="G53">
        <v>0</v>
      </c>
      <c r="H53" t="str">
        <f>IF(ISBLANK(D53),IF(G53=1,VLOOKUP(E53,'Location Impute Tables'!$A$5:$J$9,10,0),VLOOKUP(E53,'Location Impute Tables'!$A$25:$J$29,10,0)),D53)</f>
        <v>Houston</v>
      </c>
      <c r="I53">
        <f>IF(ISBLANK(B53),IF(G53=1,VLOOKUP(H53,'Amount Impute Table'!$A$5:$F$9,MATCH(fraud_data!E53,'Amount Impute Table'!$B$4:$F$4,0)+1,FALSE),VLOOKUP(H53,'Amount Impute Table'!$A$16:$F$20,MATCH(E53,'Amount Impute Table'!$B$15:$F$15,0)+1,0)),B53)</f>
        <v>376.88</v>
      </c>
    </row>
    <row r="54" spans="1:9" x14ac:dyDescent="0.2">
      <c r="A54">
        <v>448</v>
      </c>
      <c r="B54">
        <v>753.62</v>
      </c>
      <c r="C54">
        <v>19956</v>
      </c>
      <c r="D54" t="s">
        <v>15</v>
      </c>
      <c r="E54" t="s">
        <v>16</v>
      </c>
      <c r="F54">
        <v>22</v>
      </c>
      <c r="G54">
        <v>0</v>
      </c>
      <c r="H54" t="str">
        <f>IF(ISBLANK(D54),IF(G54=1,VLOOKUP(E54,'Location Impute Tables'!$A$5:$J$9,10,0),VLOOKUP(E54,'Location Impute Tables'!$A$25:$J$29,10,0)),D54)</f>
        <v>New York</v>
      </c>
      <c r="I54">
        <f>IF(ISBLANK(B54),IF(G54=1,VLOOKUP(H54,'Amount Impute Table'!$A$5:$F$9,MATCH(fraud_data!E54,'Amount Impute Table'!$B$4:$F$4,0)+1,FALSE),VLOOKUP(H54,'Amount Impute Table'!$A$16:$F$20,MATCH(E54,'Amount Impute Table'!$B$15:$F$15,0)+1,0)),B54)</f>
        <v>753.62</v>
      </c>
    </row>
    <row r="55" spans="1:9" x14ac:dyDescent="0.2">
      <c r="A55">
        <v>447</v>
      </c>
      <c r="B55">
        <v>986.02</v>
      </c>
      <c r="C55">
        <v>45765</v>
      </c>
      <c r="D55" t="s">
        <v>7</v>
      </c>
      <c r="E55" t="s">
        <v>11</v>
      </c>
      <c r="F55">
        <v>61</v>
      </c>
      <c r="G55">
        <v>0</v>
      </c>
      <c r="H55" t="str">
        <f>IF(ISBLANK(D55),IF(G55=1,VLOOKUP(E55,'Location Impute Tables'!$A$5:$J$9,10,0),VLOOKUP(E55,'Location Impute Tables'!$A$25:$J$29,10,0)),D55)</f>
        <v>Chicago</v>
      </c>
      <c r="I55">
        <f>IF(ISBLANK(B55),IF(G55=1,VLOOKUP(H55,'Amount Impute Table'!$A$5:$F$9,MATCH(fraud_data!E55,'Amount Impute Table'!$B$4:$F$4,0)+1,FALSE),VLOOKUP(H55,'Amount Impute Table'!$A$16:$F$20,MATCH(E55,'Amount Impute Table'!$B$15:$F$15,0)+1,0)),B55)</f>
        <v>986.02</v>
      </c>
    </row>
    <row r="56" spans="1:9" x14ac:dyDescent="0.2">
      <c r="A56">
        <v>446</v>
      </c>
      <c r="B56">
        <v>947.3</v>
      </c>
      <c r="C56">
        <v>70835</v>
      </c>
      <c r="D56" t="s">
        <v>7</v>
      </c>
      <c r="E56" t="s">
        <v>12</v>
      </c>
      <c r="F56">
        <v>18</v>
      </c>
      <c r="G56">
        <v>0</v>
      </c>
      <c r="H56" t="str">
        <f>IF(ISBLANK(D56),IF(G56=1,VLOOKUP(E56,'Location Impute Tables'!$A$5:$J$9,10,0),VLOOKUP(E56,'Location Impute Tables'!$A$25:$J$29,10,0)),D56)</f>
        <v>Chicago</v>
      </c>
      <c r="I56">
        <f>IF(ISBLANK(B56),IF(G56=1,VLOOKUP(H56,'Amount Impute Table'!$A$5:$F$9,MATCH(fraud_data!E56,'Amount Impute Table'!$B$4:$F$4,0)+1,FALSE),VLOOKUP(H56,'Amount Impute Table'!$A$16:$F$20,MATCH(E56,'Amount Impute Table'!$B$15:$F$15,0)+1,0)),B56)</f>
        <v>947.3</v>
      </c>
    </row>
    <row r="57" spans="1:9" x14ac:dyDescent="0.2">
      <c r="A57">
        <v>445</v>
      </c>
      <c r="B57">
        <v>812.99</v>
      </c>
      <c r="C57">
        <v>67526</v>
      </c>
      <c r="D57" t="s">
        <v>7</v>
      </c>
      <c r="E57" t="s">
        <v>14</v>
      </c>
      <c r="F57">
        <v>25</v>
      </c>
      <c r="G57">
        <v>0</v>
      </c>
      <c r="H57" t="str">
        <f>IF(ISBLANK(D57),IF(G57=1,VLOOKUP(E57,'Location Impute Tables'!$A$5:$J$9,10,0),VLOOKUP(E57,'Location Impute Tables'!$A$25:$J$29,10,0)),D57)</f>
        <v>Chicago</v>
      </c>
      <c r="I57">
        <f>IF(ISBLANK(B57),IF(G57=1,VLOOKUP(H57,'Amount Impute Table'!$A$5:$F$9,MATCH(fraud_data!E57,'Amount Impute Table'!$B$4:$F$4,0)+1,FALSE),VLOOKUP(H57,'Amount Impute Table'!$A$16:$F$20,MATCH(E57,'Amount Impute Table'!$B$15:$F$15,0)+1,0)),B57)</f>
        <v>812.99</v>
      </c>
    </row>
    <row r="58" spans="1:9" x14ac:dyDescent="0.2">
      <c r="A58">
        <v>444</v>
      </c>
      <c r="B58">
        <v>371.27</v>
      </c>
      <c r="C58">
        <v>79026</v>
      </c>
      <c r="D58" t="s">
        <v>13</v>
      </c>
      <c r="E58" t="s">
        <v>11</v>
      </c>
      <c r="F58">
        <v>33</v>
      </c>
      <c r="G58">
        <v>1</v>
      </c>
      <c r="H58" t="str">
        <f>IF(ISBLANK(D58),IF(G58=1,VLOOKUP(E58,'Location Impute Tables'!$A$5:$J$9,10,0),VLOOKUP(E58,'Location Impute Tables'!$A$25:$J$29,10,0)),D58)</f>
        <v>Houston</v>
      </c>
      <c r="I58">
        <f>IF(ISBLANK(B58),IF(G58=1,VLOOKUP(H58,'Amount Impute Table'!$A$5:$F$9,MATCH(fraud_data!E58,'Amount Impute Table'!$B$4:$F$4,0)+1,FALSE),VLOOKUP(H58,'Amount Impute Table'!$A$16:$F$20,MATCH(E58,'Amount Impute Table'!$B$15:$F$15,0)+1,0)),B58)</f>
        <v>371.27</v>
      </c>
    </row>
    <row r="59" spans="1:9" x14ac:dyDescent="0.2">
      <c r="A59">
        <v>443</v>
      </c>
      <c r="B59">
        <v>374.9</v>
      </c>
      <c r="C59">
        <v>70507</v>
      </c>
      <c r="D59" t="s">
        <v>9</v>
      </c>
      <c r="E59" t="s">
        <v>16</v>
      </c>
      <c r="F59">
        <v>75</v>
      </c>
      <c r="G59">
        <v>0</v>
      </c>
      <c r="H59" t="str">
        <f>IF(ISBLANK(D59),IF(G59=1,VLOOKUP(E59,'Location Impute Tables'!$A$5:$J$9,10,0),VLOOKUP(E59,'Location Impute Tables'!$A$25:$J$29,10,0)),D59)</f>
        <v>Los Angeles</v>
      </c>
      <c r="I59">
        <f>IF(ISBLANK(B59),IF(G59=1,VLOOKUP(H59,'Amount Impute Table'!$A$5:$F$9,MATCH(fraud_data!E59,'Amount Impute Table'!$B$4:$F$4,0)+1,FALSE),VLOOKUP(H59,'Amount Impute Table'!$A$16:$F$20,MATCH(E59,'Amount Impute Table'!$B$15:$F$15,0)+1,0)),B59)</f>
        <v>374.9</v>
      </c>
    </row>
    <row r="60" spans="1:9" x14ac:dyDescent="0.2">
      <c r="A60">
        <v>442</v>
      </c>
      <c r="B60">
        <v>986.65</v>
      </c>
      <c r="C60">
        <v>41914</v>
      </c>
      <c r="D60" t="s">
        <v>13</v>
      </c>
      <c r="E60" t="s">
        <v>14</v>
      </c>
      <c r="F60">
        <v>59</v>
      </c>
      <c r="G60">
        <v>0</v>
      </c>
      <c r="H60" t="str">
        <f>IF(ISBLANK(D60),IF(G60=1,VLOOKUP(E60,'Location Impute Tables'!$A$5:$J$9,10,0),VLOOKUP(E60,'Location Impute Tables'!$A$25:$J$29,10,0)),D60)</f>
        <v>Houston</v>
      </c>
      <c r="I60">
        <f>IF(ISBLANK(B60),IF(G60=1,VLOOKUP(H60,'Amount Impute Table'!$A$5:$F$9,MATCH(fraud_data!E60,'Amount Impute Table'!$B$4:$F$4,0)+1,FALSE),VLOOKUP(H60,'Amount Impute Table'!$A$16:$F$20,MATCH(E60,'Amount Impute Table'!$B$15:$F$15,0)+1,0)),B60)</f>
        <v>986.65</v>
      </c>
    </row>
    <row r="61" spans="1:9" x14ac:dyDescent="0.2">
      <c r="A61">
        <v>441</v>
      </c>
      <c r="B61">
        <v>85.75</v>
      </c>
      <c r="C61">
        <v>6783</v>
      </c>
      <c r="D61" t="s">
        <v>7</v>
      </c>
      <c r="E61" t="s">
        <v>16</v>
      </c>
      <c r="F61">
        <v>25</v>
      </c>
      <c r="G61">
        <v>0</v>
      </c>
      <c r="H61" t="str">
        <f>IF(ISBLANK(D61),IF(G61=1,VLOOKUP(E61,'Location Impute Tables'!$A$5:$J$9,10,0),VLOOKUP(E61,'Location Impute Tables'!$A$25:$J$29,10,0)),D61)</f>
        <v>Chicago</v>
      </c>
      <c r="I61">
        <f>IF(ISBLANK(B61),IF(G61=1,VLOOKUP(H61,'Amount Impute Table'!$A$5:$F$9,MATCH(fraud_data!E61,'Amount Impute Table'!$B$4:$F$4,0)+1,FALSE),VLOOKUP(H61,'Amount Impute Table'!$A$16:$F$20,MATCH(E61,'Amount Impute Table'!$B$15:$F$15,0)+1,0)),B61)</f>
        <v>85.75</v>
      </c>
    </row>
    <row r="62" spans="1:9" x14ac:dyDescent="0.2">
      <c r="A62">
        <v>440</v>
      </c>
      <c r="B62">
        <v>82.27</v>
      </c>
      <c r="C62">
        <v>36368</v>
      </c>
      <c r="D62" t="s">
        <v>10</v>
      </c>
      <c r="E62" t="s">
        <v>12</v>
      </c>
      <c r="F62">
        <v>64</v>
      </c>
      <c r="G62">
        <v>0</v>
      </c>
      <c r="H62" t="str">
        <f>IF(ISBLANK(D62),IF(G62=1,VLOOKUP(E62,'Location Impute Tables'!$A$5:$J$9,10,0),VLOOKUP(E62,'Location Impute Tables'!$A$25:$J$29,10,0)),D62)</f>
        <v>Miami</v>
      </c>
      <c r="I62">
        <f>IF(ISBLANK(B62),IF(G62=1,VLOOKUP(H62,'Amount Impute Table'!$A$5:$F$9,MATCH(fraud_data!E62,'Amount Impute Table'!$B$4:$F$4,0)+1,FALSE),VLOOKUP(H62,'Amount Impute Table'!$A$16:$F$20,MATCH(E62,'Amount Impute Table'!$B$15:$F$15,0)+1,0)),B62)</f>
        <v>82.27</v>
      </c>
    </row>
    <row r="63" spans="1:9" x14ac:dyDescent="0.2">
      <c r="A63">
        <v>439</v>
      </c>
      <c r="B63">
        <v>706.54</v>
      </c>
      <c r="C63">
        <v>57761</v>
      </c>
      <c r="D63" t="s">
        <v>10</v>
      </c>
      <c r="E63" t="s">
        <v>16</v>
      </c>
      <c r="F63">
        <v>54</v>
      </c>
      <c r="G63">
        <v>0</v>
      </c>
      <c r="H63" t="str">
        <f>IF(ISBLANK(D63),IF(G63=1,VLOOKUP(E63,'Location Impute Tables'!$A$5:$J$9,10,0),VLOOKUP(E63,'Location Impute Tables'!$A$25:$J$29,10,0)),D63)</f>
        <v>Miami</v>
      </c>
      <c r="I63">
        <f>IF(ISBLANK(B63),IF(G63=1,VLOOKUP(H63,'Amount Impute Table'!$A$5:$F$9,MATCH(fraud_data!E63,'Amount Impute Table'!$B$4:$F$4,0)+1,FALSE),VLOOKUP(H63,'Amount Impute Table'!$A$16:$F$20,MATCH(E63,'Amount Impute Table'!$B$15:$F$15,0)+1,0)),B63)</f>
        <v>706.54</v>
      </c>
    </row>
    <row r="64" spans="1:9" x14ac:dyDescent="0.2">
      <c r="A64">
        <v>438</v>
      </c>
      <c r="B64">
        <v>822.04</v>
      </c>
      <c r="C64">
        <v>8666</v>
      </c>
      <c r="D64" t="s">
        <v>15</v>
      </c>
      <c r="E64" t="s">
        <v>8</v>
      </c>
      <c r="F64">
        <v>42</v>
      </c>
      <c r="G64">
        <v>0</v>
      </c>
      <c r="H64" t="str">
        <f>IF(ISBLANK(D64),IF(G64=1,VLOOKUP(E64,'Location Impute Tables'!$A$5:$J$9,10,0),VLOOKUP(E64,'Location Impute Tables'!$A$25:$J$29,10,0)),D64)</f>
        <v>New York</v>
      </c>
      <c r="I64">
        <f>IF(ISBLANK(B64),IF(G64=1,VLOOKUP(H64,'Amount Impute Table'!$A$5:$F$9,MATCH(fraud_data!E64,'Amount Impute Table'!$B$4:$F$4,0)+1,FALSE),VLOOKUP(H64,'Amount Impute Table'!$A$16:$F$20,MATCH(E64,'Amount Impute Table'!$B$15:$F$15,0)+1,0)),B64)</f>
        <v>822.04</v>
      </c>
    </row>
    <row r="65" spans="1:9" x14ac:dyDescent="0.2">
      <c r="A65">
        <v>437</v>
      </c>
      <c r="B65">
        <v>73.69</v>
      </c>
      <c r="C65">
        <v>8070</v>
      </c>
      <c r="D65" t="s">
        <v>10</v>
      </c>
      <c r="E65" t="s">
        <v>14</v>
      </c>
      <c r="F65">
        <v>64</v>
      </c>
      <c r="G65">
        <v>0</v>
      </c>
      <c r="H65" t="str">
        <f>IF(ISBLANK(D65),IF(G65=1,VLOOKUP(E65,'Location Impute Tables'!$A$5:$J$9,10,0),VLOOKUP(E65,'Location Impute Tables'!$A$25:$J$29,10,0)),D65)</f>
        <v>Miami</v>
      </c>
      <c r="I65">
        <f>IF(ISBLANK(B65),IF(G65=1,VLOOKUP(H65,'Amount Impute Table'!$A$5:$F$9,MATCH(fraud_data!E65,'Amount Impute Table'!$B$4:$F$4,0)+1,FALSE),VLOOKUP(H65,'Amount Impute Table'!$A$16:$F$20,MATCH(E65,'Amount Impute Table'!$B$15:$F$15,0)+1,0)),B65)</f>
        <v>73.69</v>
      </c>
    </row>
    <row r="66" spans="1:9" x14ac:dyDescent="0.2">
      <c r="A66">
        <v>436</v>
      </c>
      <c r="B66">
        <v>701.27</v>
      </c>
      <c r="C66">
        <v>8577</v>
      </c>
      <c r="D66" t="s">
        <v>7</v>
      </c>
      <c r="E66" t="s">
        <v>16</v>
      </c>
      <c r="F66">
        <v>61</v>
      </c>
      <c r="G66">
        <v>0</v>
      </c>
      <c r="H66" t="str">
        <f>IF(ISBLANK(D66),IF(G66=1,VLOOKUP(E66,'Location Impute Tables'!$A$5:$J$9,10,0),VLOOKUP(E66,'Location Impute Tables'!$A$25:$J$29,10,0)),D66)</f>
        <v>Chicago</v>
      </c>
      <c r="I66">
        <f>IF(ISBLANK(B66),IF(G66=1,VLOOKUP(H66,'Amount Impute Table'!$A$5:$F$9,MATCH(fraud_data!E66,'Amount Impute Table'!$B$4:$F$4,0)+1,FALSE),VLOOKUP(H66,'Amount Impute Table'!$A$16:$F$20,MATCH(E66,'Amount Impute Table'!$B$15:$F$15,0)+1,0)),B66)</f>
        <v>701.27</v>
      </c>
    </row>
    <row r="67" spans="1:9" x14ac:dyDescent="0.2">
      <c r="A67">
        <v>435</v>
      </c>
      <c r="B67">
        <v>85.02</v>
      </c>
      <c r="C67">
        <v>73509</v>
      </c>
      <c r="D67" t="s">
        <v>15</v>
      </c>
      <c r="E67" t="s">
        <v>8</v>
      </c>
      <c r="F67">
        <v>56</v>
      </c>
      <c r="G67">
        <v>0</v>
      </c>
      <c r="H67" t="str">
        <f>IF(ISBLANK(D67),IF(G67=1,VLOOKUP(E67,'Location Impute Tables'!$A$5:$J$9,10,0),VLOOKUP(E67,'Location Impute Tables'!$A$25:$J$29,10,0)),D67)</f>
        <v>New York</v>
      </c>
      <c r="I67">
        <f>IF(ISBLANK(B67),IF(G67=1,VLOOKUP(H67,'Amount Impute Table'!$A$5:$F$9,MATCH(fraud_data!E67,'Amount Impute Table'!$B$4:$F$4,0)+1,FALSE),VLOOKUP(H67,'Amount Impute Table'!$A$16:$F$20,MATCH(E67,'Amount Impute Table'!$B$15:$F$15,0)+1,0)),B67)</f>
        <v>85.02</v>
      </c>
    </row>
    <row r="68" spans="1:9" x14ac:dyDescent="0.2">
      <c r="A68">
        <v>434</v>
      </c>
      <c r="B68">
        <v>102.02</v>
      </c>
      <c r="C68">
        <v>49688</v>
      </c>
      <c r="D68" t="s">
        <v>13</v>
      </c>
      <c r="E68" t="s">
        <v>11</v>
      </c>
      <c r="F68">
        <v>47</v>
      </c>
      <c r="G68">
        <v>0</v>
      </c>
      <c r="H68" t="str">
        <f>IF(ISBLANK(D68),IF(G68=1,VLOOKUP(E68,'Location Impute Tables'!$A$5:$J$9,10,0),VLOOKUP(E68,'Location Impute Tables'!$A$25:$J$29,10,0)),D68)</f>
        <v>Houston</v>
      </c>
      <c r="I68">
        <f>IF(ISBLANK(B68),IF(G68=1,VLOOKUP(H68,'Amount Impute Table'!$A$5:$F$9,MATCH(fraud_data!E68,'Amount Impute Table'!$B$4:$F$4,0)+1,FALSE),VLOOKUP(H68,'Amount Impute Table'!$A$16:$F$20,MATCH(E68,'Amount Impute Table'!$B$15:$F$15,0)+1,0)),B68)</f>
        <v>102.02</v>
      </c>
    </row>
    <row r="69" spans="1:9" x14ac:dyDescent="0.2">
      <c r="A69">
        <v>433</v>
      </c>
      <c r="B69">
        <v>618.6</v>
      </c>
      <c r="C69">
        <v>63731</v>
      </c>
      <c r="D69" t="s">
        <v>10</v>
      </c>
      <c r="E69" t="s">
        <v>8</v>
      </c>
      <c r="F69">
        <v>46</v>
      </c>
      <c r="G69">
        <v>0</v>
      </c>
      <c r="H69" t="str">
        <f>IF(ISBLANK(D69),IF(G69=1,VLOOKUP(E69,'Location Impute Tables'!$A$5:$J$9,10,0),VLOOKUP(E69,'Location Impute Tables'!$A$25:$J$29,10,0)),D69)</f>
        <v>Miami</v>
      </c>
      <c r="I69">
        <f>IF(ISBLANK(B69),IF(G69=1,VLOOKUP(H69,'Amount Impute Table'!$A$5:$F$9,MATCH(fraud_data!E69,'Amount Impute Table'!$B$4:$F$4,0)+1,FALSE),VLOOKUP(H69,'Amount Impute Table'!$A$16:$F$20,MATCH(E69,'Amount Impute Table'!$B$15:$F$15,0)+1,0)),B69)</f>
        <v>618.6</v>
      </c>
    </row>
    <row r="70" spans="1:9" x14ac:dyDescent="0.2">
      <c r="A70">
        <v>432</v>
      </c>
      <c r="B70">
        <v>761.75</v>
      </c>
      <c r="C70">
        <v>25150</v>
      </c>
      <c r="E70" t="s">
        <v>8</v>
      </c>
      <c r="F70">
        <v>40</v>
      </c>
      <c r="G70">
        <v>0</v>
      </c>
      <c r="H70" t="str">
        <f>IF(ISBLANK(D70),IF(G70=1,VLOOKUP(E70,'Location Impute Tables'!$A$5:$J$9,10,0),VLOOKUP(E70,'Location Impute Tables'!$A$25:$J$29,10,0)),D70)</f>
        <v>Miami</v>
      </c>
      <c r="I70">
        <f>IF(ISBLANK(B70),IF(G70=1,VLOOKUP(H70,'Amount Impute Table'!$A$5:$F$9,MATCH(fraud_data!E70,'Amount Impute Table'!$B$4:$F$4,0)+1,FALSE),VLOOKUP(H70,'Amount Impute Table'!$A$16:$F$20,MATCH(E70,'Amount Impute Table'!$B$15:$F$15,0)+1,0)),B70)</f>
        <v>761.75</v>
      </c>
    </row>
    <row r="71" spans="1:9" x14ac:dyDescent="0.2">
      <c r="A71">
        <v>431</v>
      </c>
      <c r="B71">
        <v>143.85</v>
      </c>
      <c r="C71">
        <v>40738</v>
      </c>
      <c r="D71" t="s">
        <v>9</v>
      </c>
      <c r="E71" t="s">
        <v>11</v>
      </c>
      <c r="F71">
        <v>36</v>
      </c>
      <c r="G71">
        <v>0</v>
      </c>
      <c r="H71" t="str">
        <f>IF(ISBLANK(D71),IF(G71=1,VLOOKUP(E71,'Location Impute Tables'!$A$5:$J$9,10,0),VLOOKUP(E71,'Location Impute Tables'!$A$25:$J$29,10,0)),D71)</f>
        <v>Los Angeles</v>
      </c>
      <c r="I71">
        <f>IF(ISBLANK(B71),IF(G71=1,VLOOKUP(H71,'Amount Impute Table'!$A$5:$F$9,MATCH(fraud_data!E71,'Amount Impute Table'!$B$4:$F$4,0)+1,FALSE),VLOOKUP(H71,'Amount Impute Table'!$A$16:$F$20,MATCH(E71,'Amount Impute Table'!$B$15:$F$15,0)+1,0)),B71)</f>
        <v>143.85</v>
      </c>
    </row>
    <row r="72" spans="1:9" x14ac:dyDescent="0.2">
      <c r="A72">
        <v>430</v>
      </c>
      <c r="B72">
        <v>117.95</v>
      </c>
      <c r="C72">
        <v>13224</v>
      </c>
      <c r="D72" t="s">
        <v>9</v>
      </c>
      <c r="E72" t="s">
        <v>16</v>
      </c>
      <c r="F72">
        <v>71</v>
      </c>
      <c r="G72">
        <v>0</v>
      </c>
      <c r="H72" t="str">
        <f>IF(ISBLANK(D72),IF(G72=1,VLOOKUP(E72,'Location Impute Tables'!$A$5:$J$9,10,0),VLOOKUP(E72,'Location Impute Tables'!$A$25:$J$29,10,0)),D72)</f>
        <v>Los Angeles</v>
      </c>
      <c r="I72">
        <f>IF(ISBLANK(B72),IF(G72=1,VLOOKUP(H72,'Amount Impute Table'!$A$5:$F$9,MATCH(fraud_data!E72,'Amount Impute Table'!$B$4:$F$4,0)+1,FALSE),VLOOKUP(H72,'Amount Impute Table'!$A$16:$F$20,MATCH(E72,'Amount Impute Table'!$B$15:$F$15,0)+1,0)),B72)</f>
        <v>117.95</v>
      </c>
    </row>
    <row r="73" spans="1:9" x14ac:dyDescent="0.2">
      <c r="A73">
        <v>429</v>
      </c>
      <c r="B73">
        <v>351.56</v>
      </c>
      <c r="C73">
        <v>39224</v>
      </c>
      <c r="D73" t="s">
        <v>9</v>
      </c>
      <c r="E73" t="s">
        <v>8</v>
      </c>
      <c r="F73">
        <v>20</v>
      </c>
      <c r="G73">
        <v>0</v>
      </c>
      <c r="H73" t="str">
        <f>IF(ISBLANK(D73),IF(G73=1,VLOOKUP(E73,'Location Impute Tables'!$A$5:$J$9,10,0),VLOOKUP(E73,'Location Impute Tables'!$A$25:$J$29,10,0)),D73)</f>
        <v>Los Angeles</v>
      </c>
      <c r="I73">
        <f>IF(ISBLANK(B73),IF(G73=1,VLOOKUP(H73,'Amount Impute Table'!$A$5:$F$9,MATCH(fraud_data!E73,'Amount Impute Table'!$B$4:$F$4,0)+1,FALSE),VLOOKUP(H73,'Amount Impute Table'!$A$16:$F$20,MATCH(E73,'Amount Impute Table'!$B$15:$F$15,0)+1,0)),B73)</f>
        <v>351.56</v>
      </c>
    </row>
    <row r="74" spans="1:9" x14ac:dyDescent="0.2">
      <c r="A74">
        <v>428</v>
      </c>
      <c r="B74">
        <v>887.82</v>
      </c>
      <c r="C74">
        <v>57545</v>
      </c>
      <c r="D74" t="s">
        <v>7</v>
      </c>
      <c r="E74" t="s">
        <v>14</v>
      </c>
      <c r="F74">
        <v>73</v>
      </c>
      <c r="G74">
        <v>0</v>
      </c>
      <c r="H74" t="str">
        <f>IF(ISBLANK(D74),IF(G74=1,VLOOKUP(E74,'Location Impute Tables'!$A$5:$J$9,10,0),VLOOKUP(E74,'Location Impute Tables'!$A$25:$J$29,10,0)),D74)</f>
        <v>Chicago</v>
      </c>
      <c r="I74">
        <f>IF(ISBLANK(B74),IF(G74=1,VLOOKUP(H74,'Amount Impute Table'!$A$5:$F$9,MATCH(fraud_data!E74,'Amount Impute Table'!$B$4:$F$4,0)+1,FALSE),VLOOKUP(H74,'Amount Impute Table'!$A$16:$F$20,MATCH(E74,'Amount Impute Table'!$B$15:$F$15,0)+1,0)),B74)</f>
        <v>887.82</v>
      </c>
    </row>
    <row r="75" spans="1:9" x14ac:dyDescent="0.2">
      <c r="A75">
        <v>427</v>
      </c>
      <c r="B75">
        <v>442.09</v>
      </c>
      <c r="C75">
        <v>75060</v>
      </c>
      <c r="D75" t="s">
        <v>7</v>
      </c>
      <c r="E75" t="s">
        <v>16</v>
      </c>
      <c r="F75">
        <v>50</v>
      </c>
      <c r="G75">
        <v>0</v>
      </c>
      <c r="H75" t="str">
        <f>IF(ISBLANK(D75),IF(G75=1,VLOOKUP(E75,'Location Impute Tables'!$A$5:$J$9,10,0),VLOOKUP(E75,'Location Impute Tables'!$A$25:$J$29,10,0)),D75)</f>
        <v>Chicago</v>
      </c>
      <c r="I75">
        <f>IF(ISBLANK(B75),IF(G75=1,VLOOKUP(H75,'Amount Impute Table'!$A$5:$F$9,MATCH(fraud_data!E75,'Amount Impute Table'!$B$4:$F$4,0)+1,FALSE),VLOOKUP(H75,'Amount Impute Table'!$A$16:$F$20,MATCH(E75,'Amount Impute Table'!$B$15:$F$15,0)+1,0)),B75)</f>
        <v>442.09</v>
      </c>
    </row>
    <row r="76" spans="1:9" x14ac:dyDescent="0.2">
      <c r="A76">
        <v>426</v>
      </c>
      <c r="B76">
        <v>549.98</v>
      </c>
      <c r="C76">
        <v>56264</v>
      </c>
      <c r="D76" t="s">
        <v>15</v>
      </c>
      <c r="E76" t="s">
        <v>14</v>
      </c>
      <c r="F76">
        <v>78</v>
      </c>
      <c r="G76">
        <v>0</v>
      </c>
      <c r="H76" t="str">
        <f>IF(ISBLANK(D76),IF(G76=1,VLOOKUP(E76,'Location Impute Tables'!$A$5:$J$9,10,0),VLOOKUP(E76,'Location Impute Tables'!$A$25:$J$29,10,0)),D76)</f>
        <v>New York</v>
      </c>
      <c r="I76">
        <f>IF(ISBLANK(B76),IF(G76=1,VLOOKUP(H76,'Amount Impute Table'!$A$5:$F$9,MATCH(fraud_data!E76,'Amount Impute Table'!$B$4:$F$4,0)+1,FALSE),VLOOKUP(H76,'Amount Impute Table'!$A$16:$F$20,MATCH(E76,'Amount Impute Table'!$B$15:$F$15,0)+1,0)),B76)</f>
        <v>549.98</v>
      </c>
    </row>
    <row r="77" spans="1:9" x14ac:dyDescent="0.2">
      <c r="A77">
        <v>425</v>
      </c>
      <c r="B77">
        <v>58.5</v>
      </c>
      <c r="C77">
        <v>11694</v>
      </c>
      <c r="D77" t="s">
        <v>7</v>
      </c>
      <c r="E77" t="s">
        <v>12</v>
      </c>
      <c r="F77">
        <v>54</v>
      </c>
      <c r="G77">
        <v>0</v>
      </c>
      <c r="H77" t="str">
        <f>IF(ISBLANK(D77),IF(G77=1,VLOOKUP(E77,'Location Impute Tables'!$A$5:$J$9,10,0),VLOOKUP(E77,'Location Impute Tables'!$A$25:$J$29,10,0)),D77)</f>
        <v>Chicago</v>
      </c>
      <c r="I77">
        <f>IF(ISBLANK(B77),IF(G77=1,VLOOKUP(H77,'Amount Impute Table'!$A$5:$F$9,MATCH(fraud_data!E77,'Amount Impute Table'!$B$4:$F$4,0)+1,FALSE),VLOOKUP(H77,'Amount Impute Table'!$A$16:$F$20,MATCH(E77,'Amount Impute Table'!$B$15:$F$15,0)+1,0)),B77)</f>
        <v>58.5</v>
      </c>
    </row>
    <row r="78" spans="1:9" x14ac:dyDescent="0.2">
      <c r="A78">
        <v>424</v>
      </c>
      <c r="B78">
        <v>494.93</v>
      </c>
      <c r="C78">
        <v>68244</v>
      </c>
      <c r="D78" t="s">
        <v>10</v>
      </c>
      <c r="E78" t="s">
        <v>12</v>
      </c>
      <c r="F78">
        <v>5</v>
      </c>
      <c r="G78">
        <v>0</v>
      </c>
      <c r="H78" t="str">
        <f>IF(ISBLANK(D78),IF(G78=1,VLOOKUP(E78,'Location Impute Tables'!$A$5:$J$9,10,0),VLOOKUP(E78,'Location Impute Tables'!$A$25:$J$29,10,0)),D78)</f>
        <v>Miami</v>
      </c>
      <c r="I78">
        <f>IF(ISBLANK(B78),IF(G78=1,VLOOKUP(H78,'Amount Impute Table'!$A$5:$F$9,MATCH(fraud_data!E78,'Amount Impute Table'!$B$4:$F$4,0)+1,FALSE),VLOOKUP(H78,'Amount Impute Table'!$A$16:$F$20,MATCH(E78,'Amount Impute Table'!$B$15:$F$15,0)+1,0)),B78)</f>
        <v>494.93</v>
      </c>
    </row>
    <row r="79" spans="1:9" x14ac:dyDescent="0.2">
      <c r="A79">
        <v>423</v>
      </c>
      <c r="B79">
        <v>92.11</v>
      </c>
      <c r="C79">
        <v>63374</v>
      </c>
      <c r="D79" t="s">
        <v>13</v>
      </c>
      <c r="E79" t="s">
        <v>16</v>
      </c>
      <c r="F79">
        <v>39</v>
      </c>
      <c r="G79">
        <v>0</v>
      </c>
      <c r="H79" t="str">
        <f>IF(ISBLANK(D79),IF(G79=1,VLOOKUP(E79,'Location Impute Tables'!$A$5:$J$9,10,0),VLOOKUP(E79,'Location Impute Tables'!$A$25:$J$29,10,0)),D79)</f>
        <v>Houston</v>
      </c>
      <c r="I79">
        <f>IF(ISBLANK(B79),IF(G79=1,VLOOKUP(H79,'Amount Impute Table'!$A$5:$F$9,MATCH(fraud_data!E79,'Amount Impute Table'!$B$4:$F$4,0)+1,FALSE),VLOOKUP(H79,'Amount Impute Table'!$A$16:$F$20,MATCH(E79,'Amount Impute Table'!$B$15:$F$15,0)+1,0)),B79)</f>
        <v>92.11</v>
      </c>
    </row>
    <row r="80" spans="1:9" x14ac:dyDescent="0.2">
      <c r="A80">
        <v>422</v>
      </c>
      <c r="B80">
        <v>789.83</v>
      </c>
      <c r="C80">
        <v>39282</v>
      </c>
      <c r="D80" t="s">
        <v>10</v>
      </c>
      <c r="E80" t="s">
        <v>11</v>
      </c>
      <c r="F80">
        <v>30</v>
      </c>
      <c r="G80">
        <v>0</v>
      </c>
      <c r="H80" t="str">
        <f>IF(ISBLANK(D80),IF(G80=1,VLOOKUP(E80,'Location Impute Tables'!$A$5:$J$9,10,0),VLOOKUP(E80,'Location Impute Tables'!$A$25:$J$29,10,0)),D80)</f>
        <v>Miami</v>
      </c>
      <c r="I80">
        <f>IF(ISBLANK(B80),IF(G80=1,VLOOKUP(H80,'Amount Impute Table'!$A$5:$F$9,MATCH(fraud_data!E80,'Amount Impute Table'!$B$4:$F$4,0)+1,FALSE),VLOOKUP(H80,'Amount Impute Table'!$A$16:$F$20,MATCH(E80,'Amount Impute Table'!$B$15:$F$15,0)+1,0)),B80)</f>
        <v>789.83</v>
      </c>
    </row>
    <row r="81" spans="1:9" x14ac:dyDescent="0.2">
      <c r="A81">
        <v>421</v>
      </c>
      <c r="B81">
        <v>791.79</v>
      </c>
      <c r="C81">
        <v>37430</v>
      </c>
      <c r="D81" t="s">
        <v>13</v>
      </c>
      <c r="E81" t="s">
        <v>16</v>
      </c>
      <c r="F81">
        <v>61</v>
      </c>
      <c r="G81">
        <v>0</v>
      </c>
      <c r="H81" t="str">
        <f>IF(ISBLANK(D81),IF(G81=1,VLOOKUP(E81,'Location Impute Tables'!$A$5:$J$9,10,0),VLOOKUP(E81,'Location Impute Tables'!$A$25:$J$29,10,0)),D81)</f>
        <v>Houston</v>
      </c>
      <c r="I81">
        <f>IF(ISBLANK(B81),IF(G81=1,VLOOKUP(H81,'Amount Impute Table'!$A$5:$F$9,MATCH(fraud_data!E81,'Amount Impute Table'!$B$4:$F$4,0)+1,FALSE),VLOOKUP(H81,'Amount Impute Table'!$A$16:$F$20,MATCH(E81,'Amount Impute Table'!$B$15:$F$15,0)+1,0)),B81)</f>
        <v>791.79</v>
      </c>
    </row>
    <row r="82" spans="1:9" x14ac:dyDescent="0.2">
      <c r="A82">
        <v>420</v>
      </c>
      <c r="B82">
        <v>752.62</v>
      </c>
      <c r="C82">
        <v>53173</v>
      </c>
      <c r="D82" t="s">
        <v>7</v>
      </c>
      <c r="E82" t="s">
        <v>11</v>
      </c>
      <c r="F82">
        <v>41</v>
      </c>
      <c r="G82">
        <v>0</v>
      </c>
      <c r="H82" t="str">
        <f>IF(ISBLANK(D82),IF(G82=1,VLOOKUP(E82,'Location Impute Tables'!$A$5:$J$9,10,0),VLOOKUP(E82,'Location Impute Tables'!$A$25:$J$29,10,0)),D82)</f>
        <v>Chicago</v>
      </c>
      <c r="I82">
        <f>IF(ISBLANK(B82),IF(G82=1,VLOOKUP(H82,'Amount Impute Table'!$A$5:$F$9,MATCH(fraud_data!E82,'Amount Impute Table'!$B$4:$F$4,0)+1,FALSE),VLOOKUP(H82,'Amount Impute Table'!$A$16:$F$20,MATCH(E82,'Amount Impute Table'!$B$15:$F$15,0)+1,0)),B82)</f>
        <v>752.62</v>
      </c>
    </row>
    <row r="83" spans="1:9" x14ac:dyDescent="0.2">
      <c r="A83">
        <v>419</v>
      </c>
      <c r="B83">
        <v>672.85</v>
      </c>
      <c r="C83">
        <v>19256</v>
      </c>
      <c r="D83" t="s">
        <v>7</v>
      </c>
      <c r="E83" t="s">
        <v>8</v>
      </c>
      <c r="F83">
        <v>40</v>
      </c>
      <c r="G83">
        <v>0</v>
      </c>
      <c r="H83" t="str">
        <f>IF(ISBLANK(D83),IF(G83=1,VLOOKUP(E83,'Location Impute Tables'!$A$5:$J$9,10,0),VLOOKUP(E83,'Location Impute Tables'!$A$25:$J$29,10,0)),D83)</f>
        <v>Chicago</v>
      </c>
      <c r="I83">
        <f>IF(ISBLANK(B83),IF(G83=1,VLOOKUP(H83,'Amount Impute Table'!$A$5:$F$9,MATCH(fraud_data!E83,'Amount Impute Table'!$B$4:$F$4,0)+1,FALSE),VLOOKUP(H83,'Amount Impute Table'!$A$16:$F$20,MATCH(E83,'Amount Impute Table'!$B$15:$F$15,0)+1,0)),B83)</f>
        <v>672.85</v>
      </c>
    </row>
    <row r="84" spans="1:9" x14ac:dyDescent="0.2">
      <c r="A84">
        <v>418</v>
      </c>
      <c r="B84">
        <v>329.34</v>
      </c>
      <c r="C84">
        <v>47523</v>
      </c>
      <c r="D84" t="s">
        <v>13</v>
      </c>
      <c r="E84" t="s">
        <v>8</v>
      </c>
      <c r="F84">
        <v>68</v>
      </c>
      <c r="G84">
        <v>0</v>
      </c>
      <c r="H84" t="str">
        <f>IF(ISBLANK(D84),IF(G84=1,VLOOKUP(E84,'Location Impute Tables'!$A$5:$J$9,10,0),VLOOKUP(E84,'Location Impute Tables'!$A$25:$J$29,10,0)),D84)</f>
        <v>Houston</v>
      </c>
      <c r="I84">
        <f>IF(ISBLANK(B84),IF(G84=1,VLOOKUP(H84,'Amount Impute Table'!$A$5:$F$9,MATCH(fraud_data!E84,'Amount Impute Table'!$B$4:$F$4,0)+1,FALSE),VLOOKUP(H84,'Amount Impute Table'!$A$16:$F$20,MATCH(E84,'Amount Impute Table'!$B$15:$F$15,0)+1,0)),B84)</f>
        <v>329.34</v>
      </c>
    </row>
    <row r="85" spans="1:9" x14ac:dyDescent="0.2">
      <c r="A85">
        <v>417</v>
      </c>
      <c r="B85">
        <v>293.92</v>
      </c>
      <c r="C85">
        <v>1645</v>
      </c>
      <c r="D85" t="s">
        <v>13</v>
      </c>
      <c r="E85" t="s">
        <v>14</v>
      </c>
      <c r="F85">
        <v>32</v>
      </c>
      <c r="G85">
        <v>0</v>
      </c>
      <c r="H85" t="str">
        <f>IF(ISBLANK(D85),IF(G85=1,VLOOKUP(E85,'Location Impute Tables'!$A$5:$J$9,10,0),VLOOKUP(E85,'Location Impute Tables'!$A$25:$J$29,10,0)),D85)</f>
        <v>Houston</v>
      </c>
      <c r="I85">
        <f>IF(ISBLANK(B85),IF(G85=1,VLOOKUP(H85,'Amount Impute Table'!$A$5:$F$9,MATCH(fraud_data!E85,'Amount Impute Table'!$B$4:$F$4,0)+1,FALSE),VLOOKUP(H85,'Amount Impute Table'!$A$16:$F$20,MATCH(E85,'Amount Impute Table'!$B$15:$F$15,0)+1,0)),B85)</f>
        <v>293.92</v>
      </c>
    </row>
    <row r="86" spans="1:9" x14ac:dyDescent="0.2">
      <c r="A86">
        <v>416</v>
      </c>
      <c r="B86">
        <v>449</v>
      </c>
      <c r="C86">
        <v>36244</v>
      </c>
      <c r="D86" t="s">
        <v>10</v>
      </c>
      <c r="E86" t="s">
        <v>12</v>
      </c>
      <c r="F86">
        <v>48</v>
      </c>
      <c r="G86">
        <v>0</v>
      </c>
      <c r="H86" t="str">
        <f>IF(ISBLANK(D86),IF(G86=1,VLOOKUP(E86,'Location Impute Tables'!$A$5:$J$9,10,0),VLOOKUP(E86,'Location Impute Tables'!$A$25:$J$29,10,0)),D86)</f>
        <v>Miami</v>
      </c>
      <c r="I86">
        <f>IF(ISBLANK(B86),IF(G86=1,VLOOKUP(H86,'Amount Impute Table'!$A$5:$F$9,MATCH(fraud_data!E86,'Amount Impute Table'!$B$4:$F$4,0)+1,FALSE),VLOOKUP(H86,'Amount Impute Table'!$A$16:$F$20,MATCH(E86,'Amount Impute Table'!$B$15:$F$15,0)+1,0)),B86)</f>
        <v>449</v>
      </c>
    </row>
    <row r="87" spans="1:9" x14ac:dyDescent="0.2">
      <c r="A87">
        <v>415</v>
      </c>
      <c r="B87">
        <v>632.21</v>
      </c>
      <c r="C87">
        <v>22116</v>
      </c>
      <c r="D87" t="s">
        <v>9</v>
      </c>
      <c r="E87" t="s">
        <v>11</v>
      </c>
      <c r="F87">
        <v>67</v>
      </c>
      <c r="G87">
        <v>0</v>
      </c>
      <c r="H87" t="str">
        <f>IF(ISBLANK(D87),IF(G87=1,VLOOKUP(E87,'Location Impute Tables'!$A$5:$J$9,10,0),VLOOKUP(E87,'Location Impute Tables'!$A$25:$J$29,10,0)),D87)</f>
        <v>Los Angeles</v>
      </c>
      <c r="I87">
        <f>IF(ISBLANK(B87),IF(G87=1,VLOOKUP(H87,'Amount Impute Table'!$A$5:$F$9,MATCH(fraud_data!E87,'Amount Impute Table'!$B$4:$F$4,0)+1,FALSE),VLOOKUP(H87,'Amount Impute Table'!$A$16:$F$20,MATCH(E87,'Amount Impute Table'!$B$15:$F$15,0)+1,0)),B87)</f>
        <v>632.21</v>
      </c>
    </row>
    <row r="88" spans="1:9" x14ac:dyDescent="0.2">
      <c r="A88">
        <v>414</v>
      </c>
      <c r="B88">
        <v>573.86</v>
      </c>
      <c r="C88">
        <v>76589</v>
      </c>
      <c r="D88" t="s">
        <v>9</v>
      </c>
      <c r="E88" t="s">
        <v>12</v>
      </c>
      <c r="F88">
        <v>44</v>
      </c>
      <c r="G88">
        <v>0</v>
      </c>
      <c r="H88" t="str">
        <f>IF(ISBLANK(D88),IF(G88=1,VLOOKUP(E88,'Location Impute Tables'!$A$5:$J$9,10,0),VLOOKUP(E88,'Location Impute Tables'!$A$25:$J$29,10,0)),D88)</f>
        <v>Los Angeles</v>
      </c>
      <c r="I88">
        <f>IF(ISBLANK(B88),IF(G88=1,VLOOKUP(H88,'Amount Impute Table'!$A$5:$F$9,MATCH(fraud_data!E88,'Amount Impute Table'!$B$4:$F$4,0)+1,FALSE),VLOOKUP(H88,'Amount Impute Table'!$A$16:$F$20,MATCH(E88,'Amount Impute Table'!$B$15:$F$15,0)+1,0)),B88)</f>
        <v>573.86</v>
      </c>
    </row>
    <row r="89" spans="1:9" x14ac:dyDescent="0.2">
      <c r="A89">
        <v>413</v>
      </c>
      <c r="B89">
        <v>950.66</v>
      </c>
      <c r="C89">
        <v>34560</v>
      </c>
      <c r="D89" t="s">
        <v>7</v>
      </c>
      <c r="E89" t="s">
        <v>14</v>
      </c>
      <c r="F89">
        <v>69</v>
      </c>
      <c r="G89">
        <v>0</v>
      </c>
      <c r="H89" t="str">
        <f>IF(ISBLANK(D89),IF(G89=1,VLOOKUP(E89,'Location Impute Tables'!$A$5:$J$9,10,0),VLOOKUP(E89,'Location Impute Tables'!$A$25:$J$29,10,0)),D89)</f>
        <v>Chicago</v>
      </c>
      <c r="I89">
        <f>IF(ISBLANK(B89),IF(G89=1,VLOOKUP(H89,'Amount Impute Table'!$A$5:$F$9,MATCH(fraud_data!E89,'Amount Impute Table'!$B$4:$F$4,0)+1,FALSE),VLOOKUP(H89,'Amount Impute Table'!$A$16:$F$20,MATCH(E89,'Amount Impute Table'!$B$15:$F$15,0)+1,0)),B89)</f>
        <v>950.66</v>
      </c>
    </row>
    <row r="90" spans="1:9" x14ac:dyDescent="0.2">
      <c r="A90">
        <v>412</v>
      </c>
      <c r="B90">
        <v>950.11</v>
      </c>
      <c r="C90">
        <v>13718</v>
      </c>
      <c r="D90" t="s">
        <v>9</v>
      </c>
      <c r="E90" t="s">
        <v>11</v>
      </c>
      <c r="F90">
        <v>32</v>
      </c>
      <c r="G90">
        <v>0</v>
      </c>
      <c r="H90" t="str">
        <f>IF(ISBLANK(D90),IF(G90=1,VLOOKUP(E90,'Location Impute Tables'!$A$5:$J$9,10,0),VLOOKUP(E90,'Location Impute Tables'!$A$25:$J$29,10,0)),D90)</f>
        <v>Los Angeles</v>
      </c>
      <c r="I90">
        <f>IF(ISBLANK(B90),IF(G90=1,VLOOKUP(H90,'Amount Impute Table'!$A$5:$F$9,MATCH(fraud_data!E90,'Amount Impute Table'!$B$4:$F$4,0)+1,FALSE),VLOOKUP(H90,'Amount Impute Table'!$A$16:$F$20,MATCH(E90,'Amount Impute Table'!$B$15:$F$15,0)+1,0)),B90)</f>
        <v>950.11</v>
      </c>
    </row>
    <row r="91" spans="1:9" x14ac:dyDescent="0.2">
      <c r="A91">
        <v>411</v>
      </c>
      <c r="B91">
        <v>319.99</v>
      </c>
      <c r="C91">
        <v>47882</v>
      </c>
      <c r="D91" t="s">
        <v>15</v>
      </c>
      <c r="E91" t="s">
        <v>12</v>
      </c>
      <c r="F91">
        <v>38</v>
      </c>
      <c r="G91">
        <v>1</v>
      </c>
      <c r="H91" t="str">
        <f>IF(ISBLANK(D91),IF(G91=1,VLOOKUP(E91,'Location Impute Tables'!$A$5:$J$9,10,0),VLOOKUP(E91,'Location Impute Tables'!$A$25:$J$29,10,0)),D91)</f>
        <v>New York</v>
      </c>
      <c r="I91">
        <f>IF(ISBLANK(B91),IF(G91=1,VLOOKUP(H91,'Amount Impute Table'!$A$5:$F$9,MATCH(fraud_data!E91,'Amount Impute Table'!$B$4:$F$4,0)+1,FALSE),VLOOKUP(H91,'Amount Impute Table'!$A$16:$F$20,MATCH(E91,'Amount Impute Table'!$B$15:$F$15,0)+1,0)),B91)</f>
        <v>319.99</v>
      </c>
    </row>
    <row r="92" spans="1:9" x14ac:dyDescent="0.2">
      <c r="A92">
        <v>410</v>
      </c>
      <c r="B92">
        <v>92.2</v>
      </c>
      <c r="C92">
        <v>3797</v>
      </c>
      <c r="D92" t="s">
        <v>9</v>
      </c>
      <c r="E92" t="s">
        <v>8</v>
      </c>
      <c r="F92">
        <v>46</v>
      </c>
      <c r="G92">
        <v>0</v>
      </c>
      <c r="H92" t="str">
        <f>IF(ISBLANK(D92),IF(G92=1,VLOOKUP(E92,'Location Impute Tables'!$A$5:$J$9,10,0),VLOOKUP(E92,'Location Impute Tables'!$A$25:$J$29,10,0)),D92)</f>
        <v>Los Angeles</v>
      </c>
      <c r="I92">
        <f>IF(ISBLANK(B92),IF(G92=1,VLOOKUP(H92,'Amount Impute Table'!$A$5:$F$9,MATCH(fraud_data!E92,'Amount Impute Table'!$B$4:$F$4,0)+1,FALSE),VLOOKUP(H92,'Amount Impute Table'!$A$16:$F$20,MATCH(E92,'Amount Impute Table'!$B$15:$F$15,0)+1,0)),B92)</f>
        <v>92.2</v>
      </c>
    </row>
    <row r="93" spans="1:9" x14ac:dyDescent="0.2">
      <c r="A93">
        <v>409</v>
      </c>
      <c r="B93">
        <v>905.48</v>
      </c>
      <c r="C93">
        <v>68904</v>
      </c>
      <c r="D93" t="s">
        <v>15</v>
      </c>
      <c r="E93" t="s">
        <v>8</v>
      </c>
      <c r="F93">
        <v>19</v>
      </c>
      <c r="G93">
        <v>0</v>
      </c>
      <c r="H93" t="str">
        <f>IF(ISBLANK(D93),IF(G93=1,VLOOKUP(E93,'Location Impute Tables'!$A$5:$J$9,10,0),VLOOKUP(E93,'Location Impute Tables'!$A$25:$J$29,10,0)),D93)</f>
        <v>New York</v>
      </c>
      <c r="I93">
        <f>IF(ISBLANK(B93),IF(G93=1,VLOOKUP(H93,'Amount Impute Table'!$A$5:$F$9,MATCH(fraud_data!E93,'Amount Impute Table'!$B$4:$F$4,0)+1,FALSE),VLOOKUP(H93,'Amount Impute Table'!$A$16:$F$20,MATCH(E93,'Amount Impute Table'!$B$15:$F$15,0)+1,0)),B93)</f>
        <v>905.48</v>
      </c>
    </row>
    <row r="94" spans="1:9" x14ac:dyDescent="0.2">
      <c r="A94">
        <v>408</v>
      </c>
      <c r="B94">
        <v>11.83</v>
      </c>
      <c r="C94">
        <v>44327</v>
      </c>
      <c r="D94" t="s">
        <v>13</v>
      </c>
      <c r="E94" t="s">
        <v>14</v>
      </c>
      <c r="F94">
        <v>35</v>
      </c>
      <c r="G94">
        <v>0</v>
      </c>
      <c r="H94" t="str">
        <f>IF(ISBLANK(D94),IF(G94=1,VLOOKUP(E94,'Location Impute Tables'!$A$5:$J$9,10,0),VLOOKUP(E94,'Location Impute Tables'!$A$25:$J$29,10,0)),D94)</f>
        <v>Houston</v>
      </c>
      <c r="I94">
        <f>IF(ISBLANK(B94),IF(G94=1,VLOOKUP(H94,'Amount Impute Table'!$A$5:$F$9,MATCH(fraud_data!E94,'Amount Impute Table'!$B$4:$F$4,0)+1,FALSE),VLOOKUP(H94,'Amount Impute Table'!$A$16:$F$20,MATCH(E94,'Amount Impute Table'!$B$15:$F$15,0)+1,0)),B94)</f>
        <v>11.83</v>
      </c>
    </row>
    <row r="95" spans="1:9" x14ac:dyDescent="0.2">
      <c r="A95">
        <v>407</v>
      </c>
      <c r="B95">
        <v>389.81</v>
      </c>
      <c r="C95">
        <v>86066</v>
      </c>
      <c r="D95" t="s">
        <v>15</v>
      </c>
      <c r="E95" t="s">
        <v>14</v>
      </c>
      <c r="F95">
        <v>30</v>
      </c>
      <c r="G95">
        <v>0</v>
      </c>
      <c r="H95" t="str">
        <f>IF(ISBLANK(D95),IF(G95=1,VLOOKUP(E95,'Location Impute Tables'!$A$5:$J$9,10,0),VLOOKUP(E95,'Location Impute Tables'!$A$25:$J$29,10,0)),D95)</f>
        <v>New York</v>
      </c>
      <c r="I95">
        <f>IF(ISBLANK(B95),IF(G95=1,VLOOKUP(H95,'Amount Impute Table'!$A$5:$F$9,MATCH(fraud_data!E95,'Amount Impute Table'!$B$4:$F$4,0)+1,FALSE),VLOOKUP(H95,'Amount Impute Table'!$A$16:$F$20,MATCH(E95,'Amount Impute Table'!$B$15:$F$15,0)+1,0)),B95)</f>
        <v>389.81</v>
      </c>
    </row>
    <row r="96" spans="1:9" x14ac:dyDescent="0.2">
      <c r="A96">
        <v>406</v>
      </c>
      <c r="B96">
        <v>895.63</v>
      </c>
      <c r="C96">
        <v>55176</v>
      </c>
      <c r="D96" t="s">
        <v>7</v>
      </c>
      <c r="E96" t="s">
        <v>8</v>
      </c>
      <c r="F96">
        <v>46</v>
      </c>
      <c r="G96">
        <v>0</v>
      </c>
      <c r="H96" t="str">
        <f>IF(ISBLANK(D96),IF(G96=1,VLOOKUP(E96,'Location Impute Tables'!$A$5:$J$9,10,0),VLOOKUP(E96,'Location Impute Tables'!$A$25:$J$29,10,0)),D96)</f>
        <v>Chicago</v>
      </c>
      <c r="I96">
        <f>IF(ISBLANK(B96),IF(G96=1,VLOOKUP(H96,'Amount Impute Table'!$A$5:$F$9,MATCH(fraud_data!E96,'Amount Impute Table'!$B$4:$F$4,0)+1,FALSE),VLOOKUP(H96,'Amount Impute Table'!$A$16:$F$20,MATCH(E96,'Amount Impute Table'!$B$15:$F$15,0)+1,0)),B96)</f>
        <v>895.63</v>
      </c>
    </row>
    <row r="97" spans="1:9" x14ac:dyDescent="0.2">
      <c r="A97">
        <v>405</v>
      </c>
      <c r="B97">
        <v>320.73</v>
      </c>
      <c r="C97">
        <v>65310</v>
      </c>
      <c r="D97" t="s">
        <v>13</v>
      </c>
      <c r="E97" t="s">
        <v>12</v>
      </c>
      <c r="F97">
        <v>45</v>
      </c>
      <c r="G97">
        <v>0</v>
      </c>
      <c r="H97" t="str">
        <f>IF(ISBLANK(D97),IF(G97=1,VLOOKUP(E97,'Location Impute Tables'!$A$5:$J$9,10,0),VLOOKUP(E97,'Location Impute Tables'!$A$25:$J$29,10,0)),D97)</f>
        <v>Houston</v>
      </c>
      <c r="I97">
        <f>IF(ISBLANK(B97),IF(G97=1,VLOOKUP(H97,'Amount Impute Table'!$A$5:$F$9,MATCH(fraud_data!E97,'Amount Impute Table'!$B$4:$F$4,0)+1,FALSE),VLOOKUP(H97,'Amount Impute Table'!$A$16:$F$20,MATCH(E97,'Amount Impute Table'!$B$15:$F$15,0)+1,0)),B97)</f>
        <v>320.73</v>
      </c>
    </row>
    <row r="98" spans="1:9" x14ac:dyDescent="0.2">
      <c r="A98">
        <v>404</v>
      </c>
      <c r="C98">
        <v>27632</v>
      </c>
      <c r="D98" t="s">
        <v>9</v>
      </c>
      <c r="E98" t="s">
        <v>11</v>
      </c>
      <c r="F98">
        <v>39</v>
      </c>
      <c r="G98">
        <v>0</v>
      </c>
      <c r="H98" t="str">
        <f>IF(ISBLANK(D98),IF(G98=1,VLOOKUP(E98,'Location Impute Tables'!$A$5:$J$9,10,0),VLOOKUP(E98,'Location Impute Tables'!$A$25:$J$29,10,0)),D98)</f>
        <v>Los Angeles</v>
      </c>
      <c r="I98">
        <f>IF(ISBLANK(B98),IF(G98=1,VLOOKUP(H98,'Amount Impute Table'!$A$5:$F$9,MATCH(fraud_data!E98,'Amount Impute Table'!$B$4:$F$4,0)+1,FALSE),VLOOKUP(H98,'Amount Impute Table'!$A$16:$F$20,MATCH(E98,'Amount Impute Table'!$B$15:$F$15,0)+1,0)),B98)</f>
        <v>535.27400000000011</v>
      </c>
    </row>
    <row r="99" spans="1:9" x14ac:dyDescent="0.2">
      <c r="A99">
        <v>403</v>
      </c>
      <c r="B99">
        <v>6481.7880675664401</v>
      </c>
      <c r="C99">
        <v>52329</v>
      </c>
      <c r="D99" t="s">
        <v>13</v>
      </c>
      <c r="E99" t="s">
        <v>16</v>
      </c>
      <c r="F99">
        <v>42</v>
      </c>
      <c r="G99">
        <v>0</v>
      </c>
      <c r="H99" t="str">
        <f>IF(ISBLANK(D99),IF(G99=1,VLOOKUP(E99,'Location Impute Tables'!$A$5:$J$9,10,0),VLOOKUP(E99,'Location Impute Tables'!$A$25:$J$29,10,0)),D99)</f>
        <v>Houston</v>
      </c>
      <c r="I99">
        <f>IF(ISBLANK(B99),IF(G99=1,VLOOKUP(H99,'Amount Impute Table'!$A$5:$F$9,MATCH(fraud_data!E99,'Amount Impute Table'!$B$4:$F$4,0)+1,FALSE),VLOOKUP(H99,'Amount Impute Table'!$A$16:$F$20,MATCH(E99,'Amount Impute Table'!$B$15:$F$15,0)+1,0)),B99)</f>
        <v>6481.7880675664401</v>
      </c>
    </row>
    <row r="100" spans="1:9" x14ac:dyDescent="0.2">
      <c r="A100">
        <v>402</v>
      </c>
      <c r="B100">
        <v>902.65</v>
      </c>
      <c r="C100">
        <v>126</v>
      </c>
      <c r="E100" t="s">
        <v>11</v>
      </c>
      <c r="F100">
        <v>60</v>
      </c>
      <c r="G100">
        <v>0</v>
      </c>
      <c r="H100" t="str">
        <f>IF(ISBLANK(D100),IF(G100=1,VLOOKUP(E100,'Location Impute Tables'!$A$5:$J$9,10,0),VLOOKUP(E100,'Location Impute Tables'!$A$25:$J$29,10,0)),D100)</f>
        <v>Chicago</v>
      </c>
      <c r="I100">
        <f>IF(ISBLANK(B100),IF(G100=1,VLOOKUP(H100,'Amount Impute Table'!$A$5:$F$9,MATCH(fraud_data!E100,'Amount Impute Table'!$B$4:$F$4,0)+1,FALSE),VLOOKUP(H100,'Amount Impute Table'!$A$16:$F$20,MATCH(E100,'Amount Impute Table'!$B$15:$F$15,0)+1,0)),B100)</f>
        <v>902.65</v>
      </c>
    </row>
    <row r="101" spans="1:9" x14ac:dyDescent="0.2">
      <c r="A101">
        <v>401</v>
      </c>
      <c r="B101">
        <v>104.02</v>
      </c>
      <c r="C101">
        <v>53028</v>
      </c>
      <c r="D101" t="s">
        <v>13</v>
      </c>
      <c r="E101" t="s">
        <v>14</v>
      </c>
      <c r="F101">
        <v>39</v>
      </c>
      <c r="G101">
        <v>0</v>
      </c>
      <c r="H101" t="str">
        <f>IF(ISBLANK(D101),IF(G101=1,VLOOKUP(E101,'Location Impute Tables'!$A$5:$J$9,10,0),VLOOKUP(E101,'Location Impute Tables'!$A$25:$J$29,10,0)),D101)</f>
        <v>Houston</v>
      </c>
      <c r="I101">
        <f>IF(ISBLANK(B101),IF(G101=1,VLOOKUP(H101,'Amount Impute Table'!$A$5:$F$9,MATCH(fraud_data!E101,'Amount Impute Table'!$B$4:$F$4,0)+1,FALSE),VLOOKUP(H101,'Amount Impute Table'!$A$16:$F$20,MATCH(E101,'Amount Impute Table'!$B$15:$F$15,0)+1,0)),B101)</f>
        <v>104.02</v>
      </c>
    </row>
    <row r="102" spans="1:9" x14ac:dyDescent="0.2">
      <c r="A102">
        <v>400</v>
      </c>
      <c r="B102">
        <v>754.79</v>
      </c>
      <c r="C102">
        <v>60279</v>
      </c>
      <c r="D102" t="s">
        <v>10</v>
      </c>
      <c r="E102" t="s">
        <v>8</v>
      </c>
      <c r="F102">
        <v>39</v>
      </c>
      <c r="G102">
        <v>0</v>
      </c>
      <c r="H102" t="str">
        <f>IF(ISBLANK(D102),IF(G102=1,VLOOKUP(E102,'Location Impute Tables'!$A$5:$J$9,10,0),VLOOKUP(E102,'Location Impute Tables'!$A$25:$J$29,10,0)),D102)</f>
        <v>Miami</v>
      </c>
      <c r="I102">
        <f>IF(ISBLANK(B102),IF(G102=1,VLOOKUP(H102,'Amount Impute Table'!$A$5:$F$9,MATCH(fraud_data!E102,'Amount Impute Table'!$B$4:$F$4,0)+1,FALSE),VLOOKUP(H102,'Amount Impute Table'!$A$16:$F$20,MATCH(E102,'Amount Impute Table'!$B$15:$F$15,0)+1,0)),B102)</f>
        <v>754.79</v>
      </c>
    </row>
    <row r="103" spans="1:9" x14ac:dyDescent="0.2">
      <c r="A103">
        <v>399</v>
      </c>
      <c r="B103">
        <v>751.12</v>
      </c>
      <c r="C103">
        <v>64644</v>
      </c>
      <c r="D103" t="s">
        <v>10</v>
      </c>
      <c r="E103" t="s">
        <v>14</v>
      </c>
      <c r="F103">
        <v>28</v>
      </c>
      <c r="G103">
        <v>0</v>
      </c>
      <c r="H103" t="str">
        <f>IF(ISBLANK(D103),IF(G103=1,VLOOKUP(E103,'Location Impute Tables'!$A$5:$J$9,10,0),VLOOKUP(E103,'Location Impute Tables'!$A$25:$J$29,10,0)),D103)</f>
        <v>Miami</v>
      </c>
      <c r="I103">
        <f>IF(ISBLANK(B103),IF(G103=1,VLOOKUP(H103,'Amount Impute Table'!$A$5:$F$9,MATCH(fraud_data!E103,'Amount Impute Table'!$B$4:$F$4,0)+1,FALSE),VLOOKUP(H103,'Amount Impute Table'!$A$16:$F$20,MATCH(E103,'Amount Impute Table'!$B$15:$F$15,0)+1,0)),B103)</f>
        <v>751.12</v>
      </c>
    </row>
    <row r="104" spans="1:9" x14ac:dyDescent="0.2">
      <c r="A104">
        <v>398</v>
      </c>
      <c r="B104">
        <v>429.57</v>
      </c>
      <c r="C104">
        <v>80879</v>
      </c>
      <c r="D104" t="s">
        <v>13</v>
      </c>
      <c r="E104" t="s">
        <v>8</v>
      </c>
      <c r="F104">
        <v>49</v>
      </c>
      <c r="G104">
        <v>0</v>
      </c>
      <c r="H104" t="str">
        <f>IF(ISBLANK(D104),IF(G104=1,VLOOKUP(E104,'Location Impute Tables'!$A$5:$J$9,10,0),VLOOKUP(E104,'Location Impute Tables'!$A$25:$J$29,10,0)),D104)</f>
        <v>Houston</v>
      </c>
      <c r="I104">
        <f>IF(ISBLANK(B104),IF(G104=1,VLOOKUP(H104,'Amount Impute Table'!$A$5:$F$9,MATCH(fraud_data!E104,'Amount Impute Table'!$B$4:$F$4,0)+1,FALSE),VLOOKUP(H104,'Amount Impute Table'!$A$16:$F$20,MATCH(E104,'Amount Impute Table'!$B$15:$F$15,0)+1,0)),B104)</f>
        <v>429.57</v>
      </c>
    </row>
    <row r="105" spans="1:9" x14ac:dyDescent="0.2">
      <c r="A105">
        <v>397</v>
      </c>
      <c r="B105">
        <v>858.55</v>
      </c>
      <c r="C105">
        <v>37219</v>
      </c>
      <c r="D105" t="s">
        <v>13</v>
      </c>
      <c r="E105" t="s">
        <v>12</v>
      </c>
      <c r="F105">
        <v>61</v>
      </c>
      <c r="G105">
        <v>0</v>
      </c>
      <c r="H105" t="str">
        <f>IF(ISBLANK(D105),IF(G105=1,VLOOKUP(E105,'Location Impute Tables'!$A$5:$J$9,10,0),VLOOKUP(E105,'Location Impute Tables'!$A$25:$J$29,10,0)),D105)</f>
        <v>Houston</v>
      </c>
      <c r="I105">
        <f>IF(ISBLANK(B105),IF(G105=1,VLOOKUP(H105,'Amount Impute Table'!$A$5:$F$9,MATCH(fraud_data!E105,'Amount Impute Table'!$B$4:$F$4,0)+1,FALSE),VLOOKUP(H105,'Amount Impute Table'!$A$16:$F$20,MATCH(E105,'Amount Impute Table'!$B$15:$F$15,0)+1,0)),B105)</f>
        <v>858.55</v>
      </c>
    </row>
    <row r="106" spans="1:9" x14ac:dyDescent="0.2">
      <c r="A106">
        <v>396</v>
      </c>
      <c r="B106">
        <v>930.83</v>
      </c>
      <c r="C106">
        <v>39915</v>
      </c>
      <c r="D106" t="s">
        <v>9</v>
      </c>
      <c r="E106" t="s">
        <v>16</v>
      </c>
      <c r="F106">
        <v>40</v>
      </c>
      <c r="G106">
        <v>0</v>
      </c>
      <c r="H106" t="str">
        <f>IF(ISBLANK(D106),IF(G106=1,VLOOKUP(E106,'Location Impute Tables'!$A$5:$J$9,10,0),VLOOKUP(E106,'Location Impute Tables'!$A$25:$J$29,10,0)),D106)</f>
        <v>Los Angeles</v>
      </c>
      <c r="I106">
        <f>IF(ISBLANK(B106),IF(G106=1,VLOOKUP(H106,'Amount Impute Table'!$A$5:$F$9,MATCH(fraud_data!E106,'Amount Impute Table'!$B$4:$F$4,0)+1,FALSE),VLOOKUP(H106,'Amount Impute Table'!$A$16:$F$20,MATCH(E106,'Amount Impute Table'!$B$15:$F$15,0)+1,0)),B106)</f>
        <v>930.83</v>
      </c>
    </row>
    <row r="107" spans="1:9" x14ac:dyDescent="0.2">
      <c r="A107">
        <v>395</v>
      </c>
      <c r="B107">
        <v>341.46</v>
      </c>
      <c r="C107">
        <v>85451</v>
      </c>
      <c r="D107" t="s">
        <v>15</v>
      </c>
      <c r="E107" t="s">
        <v>11</v>
      </c>
      <c r="F107">
        <v>24</v>
      </c>
      <c r="G107">
        <v>0</v>
      </c>
      <c r="H107" t="str">
        <f>IF(ISBLANK(D107),IF(G107=1,VLOOKUP(E107,'Location Impute Tables'!$A$5:$J$9,10,0),VLOOKUP(E107,'Location Impute Tables'!$A$25:$J$29,10,0)),D107)</f>
        <v>New York</v>
      </c>
      <c r="I107">
        <f>IF(ISBLANK(B107),IF(G107=1,VLOOKUP(H107,'Amount Impute Table'!$A$5:$F$9,MATCH(fraud_data!E107,'Amount Impute Table'!$B$4:$F$4,0)+1,FALSE),VLOOKUP(H107,'Amount Impute Table'!$A$16:$F$20,MATCH(E107,'Amount Impute Table'!$B$15:$F$15,0)+1,0)),B107)</f>
        <v>341.46</v>
      </c>
    </row>
    <row r="108" spans="1:9" x14ac:dyDescent="0.2">
      <c r="A108">
        <v>394</v>
      </c>
      <c r="B108">
        <v>776.64</v>
      </c>
      <c r="C108">
        <v>27306</v>
      </c>
      <c r="D108" t="s">
        <v>9</v>
      </c>
      <c r="E108" t="s">
        <v>8</v>
      </c>
      <c r="F108">
        <v>63</v>
      </c>
      <c r="G108">
        <v>0</v>
      </c>
      <c r="H108" t="str">
        <f>IF(ISBLANK(D108),IF(G108=1,VLOOKUP(E108,'Location Impute Tables'!$A$5:$J$9,10,0),VLOOKUP(E108,'Location Impute Tables'!$A$25:$J$29,10,0)),D108)</f>
        <v>Los Angeles</v>
      </c>
      <c r="I108">
        <f>IF(ISBLANK(B108),IF(G108=1,VLOOKUP(H108,'Amount Impute Table'!$A$5:$F$9,MATCH(fraud_data!E108,'Amount Impute Table'!$B$4:$F$4,0)+1,FALSE),VLOOKUP(H108,'Amount Impute Table'!$A$16:$F$20,MATCH(E108,'Amount Impute Table'!$B$15:$F$15,0)+1,0)),B108)</f>
        <v>776.64</v>
      </c>
    </row>
    <row r="109" spans="1:9" x14ac:dyDescent="0.2">
      <c r="A109">
        <v>393</v>
      </c>
      <c r="C109">
        <v>56942</v>
      </c>
      <c r="D109" t="s">
        <v>7</v>
      </c>
      <c r="E109" t="s">
        <v>14</v>
      </c>
      <c r="F109">
        <v>57</v>
      </c>
      <c r="G109">
        <v>0</v>
      </c>
      <c r="H109" t="str">
        <f>IF(ISBLANK(D109),IF(G109=1,VLOOKUP(E109,'Location Impute Tables'!$A$5:$J$9,10,0),VLOOKUP(E109,'Location Impute Tables'!$A$25:$J$29,10,0)),D109)</f>
        <v>Chicago</v>
      </c>
      <c r="I109">
        <f>IF(ISBLANK(B109),IF(G109=1,VLOOKUP(H109,'Amount Impute Table'!$A$5:$F$9,MATCH(fraud_data!E109,'Amount Impute Table'!$B$4:$F$4,0)+1,FALSE),VLOOKUP(H109,'Amount Impute Table'!$A$16:$F$20,MATCH(E109,'Amount Impute Table'!$B$15:$F$15,0)+1,0)),B109)</f>
        <v>585.44833333333338</v>
      </c>
    </row>
    <row r="110" spans="1:9" x14ac:dyDescent="0.2">
      <c r="A110">
        <v>392</v>
      </c>
      <c r="B110">
        <v>413.21</v>
      </c>
      <c r="C110">
        <v>15328</v>
      </c>
      <c r="D110" t="s">
        <v>7</v>
      </c>
      <c r="E110" t="s">
        <v>12</v>
      </c>
      <c r="F110">
        <v>63</v>
      </c>
      <c r="G110">
        <v>0</v>
      </c>
      <c r="H110" t="str">
        <f>IF(ISBLANK(D110),IF(G110=1,VLOOKUP(E110,'Location Impute Tables'!$A$5:$J$9,10,0),VLOOKUP(E110,'Location Impute Tables'!$A$25:$J$29,10,0)),D110)</f>
        <v>Chicago</v>
      </c>
      <c r="I110">
        <f>IF(ISBLANK(B110),IF(G110=1,VLOOKUP(H110,'Amount Impute Table'!$A$5:$F$9,MATCH(fraud_data!E110,'Amount Impute Table'!$B$4:$F$4,0)+1,FALSE),VLOOKUP(H110,'Amount Impute Table'!$A$16:$F$20,MATCH(E110,'Amount Impute Table'!$B$15:$F$15,0)+1,0)),B110)</f>
        <v>413.21</v>
      </c>
    </row>
    <row r="111" spans="1:9" x14ac:dyDescent="0.2">
      <c r="A111">
        <v>391</v>
      </c>
      <c r="C111">
        <v>17368</v>
      </c>
      <c r="D111" t="s">
        <v>10</v>
      </c>
      <c r="E111" t="s">
        <v>8</v>
      </c>
      <c r="F111">
        <v>25</v>
      </c>
      <c r="G111">
        <v>0</v>
      </c>
      <c r="H111" t="str">
        <f>IF(ISBLANK(D111),IF(G111=1,VLOOKUP(E111,'Location Impute Tables'!$A$5:$J$9,10,0),VLOOKUP(E111,'Location Impute Tables'!$A$25:$J$29,10,0)),D111)</f>
        <v>Miami</v>
      </c>
      <c r="I111">
        <f>IF(ISBLANK(B111),IF(G111=1,VLOOKUP(H111,'Amount Impute Table'!$A$5:$F$9,MATCH(fraud_data!E111,'Amount Impute Table'!$B$4:$F$4,0)+1,FALSE),VLOOKUP(H111,'Amount Impute Table'!$A$16:$F$20,MATCH(E111,'Amount Impute Table'!$B$15:$F$15,0)+1,0)),B111)</f>
        <v>956.36244346902424</v>
      </c>
    </row>
    <row r="112" spans="1:9" x14ac:dyDescent="0.2">
      <c r="A112">
        <v>390</v>
      </c>
      <c r="B112">
        <v>807.03</v>
      </c>
      <c r="C112">
        <v>73319</v>
      </c>
      <c r="D112" t="s">
        <v>13</v>
      </c>
      <c r="E112" t="s">
        <v>12</v>
      </c>
      <c r="F112">
        <v>79</v>
      </c>
      <c r="G112">
        <v>0</v>
      </c>
      <c r="H112" t="str">
        <f>IF(ISBLANK(D112),IF(G112=1,VLOOKUP(E112,'Location Impute Tables'!$A$5:$J$9,10,0),VLOOKUP(E112,'Location Impute Tables'!$A$25:$J$29,10,0)),D112)</f>
        <v>Houston</v>
      </c>
      <c r="I112">
        <f>IF(ISBLANK(B112),IF(G112=1,VLOOKUP(H112,'Amount Impute Table'!$A$5:$F$9,MATCH(fraud_data!E112,'Amount Impute Table'!$B$4:$F$4,0)+1,FALSE),VLOOKUP(H112,'Amount Impute Table'!$A$16:$F$20,MATCH(E112,'Amount Impute Table'!$B$15:$F$15,0)+1,0)),B112)</f>
        <v>807.03</v>
      </c>
    </row>
    <row r="113" spans="1:9" x14ac:dyDescent="0.2">
      <c r="A113">
        <v>389</v>
      </c>
      <c r="B113">
        <v>750.86</v>
      </c>
      <c r="C113">
        <v>75916</v>
      </c>
      <c r="D113" t="s">
        <v>9</v>
      </c>
      <c r="E113" t="s">
        <v>16</v>
      </c>
      <c r="F113">
        <v>38</v>
      </c>
      <c r="G113">
        <v>0</v>
      </c>
      <c r="H113" t="str">
        <f>IF(ISBLANK(D113),IF(G113=1,VLOOKUP(E113,'Location Impute Tables'!$A$5:$J$9,10,0),VLOOKUP(E113,'Location Impute Tables'!$A$25:$J$29,10,0)),D113)</f>
        <v>Los Angeles</v>
      </c>
      <c r="I113">
        <f>IF(ISBLANK(B113),IF(G113=1,VLOOKUP(H113,'Amount Impute Table'!$A$5:$F$9,MATCH(fraud_data!E113,'Amount Impute Table'!$B$4:$F$4,0)+1,FALSE),VLOOKUP(H113,'Amount Impute Table'!$A$16:$F$20,MATCH(E113,'Amount Impute Table'!$B$15:$F$15,0)+1,0)),B113)</f>
        <v>750.86</v>
      </c>
    </row>
    <row r="114" spans="1:9" x14ac:dyDescent="0.2">
      <c r="A114">
        <v>388</v>
      </c>
      <c r="B114">
        <v>178.26</v>
      </c>
      <c r="C114">
        <v>75993</v>
      </c>
      <c r="D114" t="s">
        <v>15</v>
      </c>
      <c r="E114" t="s">
        <v>11</v>
      </c>
      <c r="F114">
        <v>79</v>
      </c>
      <c r="G114">
        <v>0</v>
      </c>
      <c r="H114" t="str">
        <f>IF(ISBLANK(D114),IF(G114=1,VLOOKUP(E114,'Location Impute Tables'!$A$5:$J$9,10,0),VLOOKUP(E114,'Location Impute Tables'!$A$25:$J$29,10,0)),D114)</f>
        <v>New York</v>
      </c>
      <c r="I114">
        <f>IF(ISBLANK(B114),IF(G114=1,VLOOKUP(H114,'Amount Impute Table'!$A$5:$F$9,MATCH(fraud_data!E114,'Amount Impute Table'!$B$4:$F$4,0)+1,FALSE),VLOOKUP(H114,'Amount Impute Table'!$A$16:$F$20,MATCH(E114,'Amount Impute Table'!$B$15:$F$15,0)+1,0)),B114)</f>
        <v>178.26</v>
      </c>
    </row>
    <row r="115" spans="1:9" x14ac:dyDescent="0.2">
      <c r="A115">
        <v>387</v>
      </c>
      <c r="B115">
        <v>282.75</v>
      </c>
      <c r="C115">
        <v>2443</v>
      </c>
      <c r="D115" t="s">
        <v>15</v>
      </c>
      <c r="E115" t="s">
        <v>12</v>
      </c>
      <c r="F115">
        <v>30</v>
      </c>
      <c r="G115">
        <v>0</v>
      </c>
      <c r="H115" t="str">
        <f>IF(ISBLANK(D115),IF(G115=1,VLOOKUP(E115,'Location Impute Tables'!$A$5:$J$9,10,0),VLOOKUP(E115,'Location Impute Tables'!$A$25:$J$29,10,0)),D115)</f>
        <v>New York</v>
      </c>
      <c r="I115">
        <f>IF(ISBLANK(B115),IF(G115=1,VLOOKUP(H115,'Amount Impute Table'!$A$5:$F$9,MATCH(fraud_data!E115,'Amount Impute Table'!$B$4:$F$4,0)+1,FALSE),VLOOKUP(H115,'Amount Impute Table'!$A$16:$F$20,MATCH(E115,'Amount Impute Table'!$B$15:$F$15,0)+1,0)),B115)</f>
        <v>282.75</v>
      </c>
    </row>
    <row r="116" spans="1:9" x14ac:dyDescent="0.2">
      <c r="A116">
        <v>386</v>
      </c>
      <c r="B116">
        <v>803.68</v>
      </c>
      <c r="C116">
        <v>76077</v>
      </c>
      <c r="D116" t="s">
        <v>15</v>
      </c>
      <c r="E116" t="s">
        <v>8</v>
      </c>
      <c r="G116">
        <v>0</v>
      </c>
      <c r="H116" t="str">
        <f>IF(ISBLANK(D116),IF(G116=1,VLOOKUP(E116,'Location Impute Tables'!$A$5:$J$9,10,0),VLOOKUP(E116,'Location Impute Tables'!$A$25:$J$29,10,0)),D116)</f>
        <v>New York</v>
      </c>
      <c r="I116">
        <f>IF(ISBLANK(B116),IF(G116=1,VLOOKUP(H116,'Amount Impute Table'!$A$5:$F$9,MATCH(fraud_data!E116,'Amount Impute Table'!$B$4:$F$4,0)+1,FALSE),VLOOKUP(H116,'Amount Impute Table'!$A$16:$F$20,MATCH(E116,'Amount Impute Table'!$B$15:$F$15,0)+1,0)),B116)</f>
        <v>803.68</v>
      </c>
    </row>
    <row r="117" spans="1:9" x14ac:dyDescent="0.2">
      <c r="A117">
        <v>385</v>
      </c>
      <c r="B117">
        <v>735.34</v>
      </c>
      <c r="C117">
        <v>814</v>
      </c>
      <c r="D117" t="s">
        <v>7</v>
      </c>
      <c r="E117" t="s">
        <v>12</v>
      </c>
      <c r="F117">
        <v>35</v>
      </c>
      <c r="G117">
        <v>0</v>
      </c>
      <c r="H117" t="str">
        <f>IF(ISBLANK(D117),IF(G117=1,VLOOKUP(E117,'Location Impute Tables'!$A$5:$J$9,10,0),VLOOKUP(E117,'Location Impute Tables'!$A$25:$J$29,10,0)),D117)</f>
        <v>Chicago</v>
      </c>
      <c r="I117">
        <f>IF(ISBLANK(B117),IF(G117=1,VLOOKUP(H117,'Amount Impute Table'!$A$5:$F$9,MATCH(fraud_data!E117,'Amount Impute Table'!$B$4:$F$4,0)+1,FALSE),VLOOKUP(H117,'Amount Impute Table'!$A$16:$F$20,MATCH(E117,'Amount Impute Table'!$B$15:$F$15,0)+1,0)),B117)</f>
        <v>735.34</v>
      </c>
    </row>
    <row r="118" spans="1:9" x14ac:dyDescent="0.2">
      <c r="A118">
        <v>384</v>
      </c>
      <c r="B118">
        <v>877.59</v>
      </c>
      <c r="C118">
        <v>55318</v>
      </c>
      <c r="D118" t="s">
        <v>10</v>
      </c>
      <c r="E118" t="s">
        <v>16</v>
      </c>
      <c r="F118">
        <v>64</v>
      </c>
      <c r="G118">
        <v>0</v>
      </c>
      <c r="H118" t="str">
        <f>IF(ISBLANK(D118),IF(G118=1,VLOOKUP(E118,'Location Impute Tables'!$A$5:$J$9,10,0),VLOOKUP(E118,'Location Impute Tables'!$A$25:$J$29,10,0)),D118)</f>
        <v>Miami</v>
      </c>
      <c r="I118">
        <f>IF(ISBLANK(B118),IF(G118=1,VLOOKUP(H118,'Amount Impute Table'!$A$5:$F$9,MATCH(fraud_data!E118,'Amount Impute Table'!$B$4:$F$4,0)+1,FALSE),VLOOKUP(H118,'Amount Impute Table'!$A$16:$F$20,MATCH(E118,'Amount Impute Table'!$B$15:$F$15,0)+1,0)),B118)</f>
        <v>877.59</v>
      </c>
    </row>
    <row r="119" spans="1:9" x14ac:dyDescent="0.2">
      <c r="A119">
        <v>383</v>
      </c>
      <c r="B119">
        <v>629.30999999999995</v>
      </c>
      <c r="C119">
        <v>12999</v>
      </c>
      <c r="D119" t="s">
        <v>9</v>
      </c>
      <c r="E119" t="s">
        <v>16</v>
      </c>
      <c r="F119">
        <v>58</v>
      </c>
      <c r="G119">
        <v>0</v>
      </c>
      <c r="H119" t="str">
        <f>IF(ISBLANK(D119),IF(G119=1,VLOOKUP(E119,'Location Impute Tables'!$A$5:$J$9,10,0),VLOOKUP(E119,'Location Impute Tables'!$A$25:$J$29,10,0)),D119)</f>
        <v>Los Angeles</v>
      </c>
      <c r="I119">
        <f>IF(ISBLANK(B119),IF(G119=1,VLOOKUP(H119,'Amount Impute Table'!$A$5:$F$9,MATCH(fraud_data!E119,'Amount Impute Table'!$B$4:$F$4,0)+1,FALSE),VLOOKUP(H119,'Amount Impute Table'!$A$16:$F$20,MATCH(E119,'Amount Impute Table'!$B$15:$F$15,0)+1,0)),B119)</f>
        <v>629.30999999999995</v>
      </c>
    </row>
    <row r="120" spans="1:9" x14ac:dyDescent="0.2">
      <c r="A120">
        <v>382</v>
      </c>
      <c r="B120">
        <v>697.04</v>
      </c>
      <c r="C120">
        <v>76325</v>
      </c>
      <c r="D120" t="s">
        <v>13</v>
      </c>
      <c r="E120" t="s">
        <v>11</v>
      </c>
      <c r="F120">
        <v>29</v>
      </c>
      <c r="G120">
        <v>0</v>
      </c>
      <c r="H120" t="str">
        <f>IF(ISBLANK(D120),IF(G120=1,VLOOKUP(E120,'Location Impute Tables'!$A$5:$J$9,10,0),VLOOKUP(E120,'Location Impute Tables'!$A$25:$J$29,10,0)),D120)</f>
        <v>Houston</v>
      </c>
      <c r="I120">
        <f>IF(ISBLANK(B120),IF(G120=1,VLOOKUP(H120,'Amount Impute Table'!$A$5:$F$9,MATCH(fraud_data!E120,'Amount Impute Table'!$B$4:$F$4,0)+1,FALSE),VLOOKUP(H120,'Amount Impute Table'!$A$16:$F$20,MATCH(E120,'Amount Impute Table'!$B$15:$F$15,0)+1,0)),B120)</f>
        <v>697.04</v>
      </c>
    </row>
    <row r="121" spans="1:9" x14ac:dyDescent="0.2">
      <c r="A121">
        <v>381</v>
      </c>
      <c r="C121">
        <v>14153</v>
      </c>
      <c r="D121" t="s">
        <v>10</v>
      </c>
      <c r="E121" t="s">
        <v>12</v>
      </c>
      <c r="F121">
        <v>66</v>
      </c>
      <c r="G121">
        <v>0</v>
      </c>
      <c r="H121" t="str">
        <f>IF(ISBLANK(D121),IF(G121=1,VLOOKUP(E121,'Location Impute Tables'!$A$5:$J$9,10,0),VLOOKUP(E121,'Location Impute Tables'!$A$25:$J$29,10,0)),D121)</f>
        <v>Miami</v>
      </c>
      <c r="I121">
        <f>IF(ISBLANK(B121),IF(G121=1,VLOOKUP(H121,'Amount Impute Table'!$A$5:$F$9,MATCH(fraud_data!E121,'Amount Impute Table'!$B$4:$F$4,0)+1,FALSE),VLOOKUP(H121,'Amount Impute Table'!$A$16:$F$20,MATCH(E121,'Amount Impute Table'!$B$15:$F$15,0)+1,0)),B121)</f>
        <v>724.67005126139316</v>
      </c>
    </row>
    <row r="122" spans="1:9" x14ac:dyDescent="0.2">
      <c r="A122">
        <v>380</v>
      </c>
      <c r="B122">
        <v>282.57</v>
      </c>
      <c r="C122">
        <v>77834</v>
      </c>
      <c r="D122" t="s">
        <v>10</v>
      </c>
      <c r="E122" t="s">
        <v>16</v>
      </c>
      <c r="F122">
        <v>56</v>
      </c>
      <c r="G122">
        <v>0</v>
      </c>
      <c r="H122" t="str">
        <f>IF(ISBLANK(D122),IF(G122=1,VLOOKUP(E122,'Location Impute Tables'!$A$5:$J$9,10,0),VLOOKUP(E122,'Location Impute Tables'!$A$25:$J$29,10,0)),D122)</f>
        <v>Miami</v>
      </c>
      <c r="I122">
        <f>IF(ISBLANK(B122),IF(G122=1,VLOOKUP(H122,'Amount Impute Table'!$A$5:$F$9,MATCH(fraud_data!E122,'Amount Impute Table'!$B$4:$F$4,0)+1,FALSE),VLOOKUP(H122,'Amount Impute Table'!$A$16:$F$20,MATCH(E122,'Amount Impute Table'!$B$15:$F$15,0)+1,0)),B122)</f>
        <v>282.57</v>
      </c>
    </row>
    <row r="123" spans="1:9" x14ac:dyDescent="0.2">
      <c r="A123">
        <v>379</v>
      </c>
      <c r="B123">
        <v>814.65</v>
      </c>
      <c r="C123">
        <v>71315</v>
      </c>
      <c r="D123" t="s">
        <v>9</v>
      </c>
      <c r="E123" t="s">
        <v>14</v>
      </c>
      <c r="F123">
        <v>72</v>
      </c>
      <c r="G123">
        <v>0</v>
      </c>
      <c r="H123" t="str">
        <f>IF(ISBLANK(D123),IF(G123=1,VLOOKUP(E123,'Location Impute Tables'!$A$5:$J$9,10,0),VLOOKUP(E123,'Location Impute Tables'!$A$25:$J$29,10,0)),D123)</f>
        <v>Los Angeles</v>
      </c>
      <c r="I123">
        <f>IF(ISBLANK(B123),IF(G123=1,VLOOKUP(H123,'Amount Impute Table'!$A$5:$F$9,MATCH(fraud_data!E123,'Amount Impute Table'!$B$4:$F$4,0)+1,FALSE),VLOOKUP(H123,'Amount Impute Table'!$A$16:$F$20,MATCH(E123,'Amount Impute Table'!$B$15:$F$15,0)+1,0)),B123)</f>
        <v>814.65</v>
      </c>
    </row>
    <row r="124" spans="1:9" x14ac:dyDescent="0.2">
      <c r="A124">
        <v>378</v>
      </c>
      <c r="B124">
        <v>24.25</v>
      </c>
      <c r="C124">
        <v>75683</v>
      </c>
      <c r="D124" t="s">
        <v>13</v>
      </c>
      <c r="E124" t="s">
        <v>11</v>
      </c>
      <c r="F124">
        <v>47</v>
      </c>
      <c r="G124">
        <v>0</v>
      </c>
      <c r="H124" t="str">
        <f>IF(ISBLANK(D124),IF(G124=1,VLOOKUP(E124,'Location Impute Tables'!$A$5:$J$9,10,0),VLOOKUP(E124,'Location Impute Tables'!$A$25:$J$29,10,0)),D124)</f>
        <v>Houston</v>
      </c>
      <c r="I124">
        <f>IF(ISBLANK(B124),IF(G124=1,VLOOKUP(H124,'Amount Impute Table'!$A$5:$F$9,MATCH(fraud_data!E124,'Amount Impute Table'!$B$4:$F$4,0)+1,FALSE),VLOOKUP(H124,'Amount Impute Table'!$A$16:$F$20,MATCH(E124,'Amount Impute Table'!$B$15:$F$15,0)+1,0)),B124)</f>
        <v>24.25</v>
      </c>
    </row>
    <row r="125" spans="1:9" x14ac:dyDescent="0.2">
      <c r="A125">
        <v>377</v>
      </c>
      <c r="B125">
        <v>845.03</v>
      </c>
      <c r="C125">
        <v>39666</v>
      </c>
      <c r="D125" t="s">
        <v>9</v>
      </c>
      <c r="E125" t="s">
        <v>12</v>
      </c>
      <c r="F125">
        <v>49</v>
      </c>
      <c r="G125">
        <v>0</v>
      </c>
      <c r="H125" t="str">
        <f>IF(ISBLANK(D125),IF(G125=1,VLOOKUP(E125,'Location Impute Tables'!$A$5:$J$9,10,0),VLOOKUP(E125,'Location Impute Tables'!$A$25:$J$29,10,0)),D125)</f>
        <v>Los Angeles</v>
      </c>
      <c r="I125">
        <f>IF(ISBLANK(B125),IF(G125=1,VLOOKUP(H125,'Amount Impute Table'!$A$5:$F$9,MATCH(fraud_data!E125,'Amount Impute Table'!$B$4:$F$4,0)+1,FALSE),VLOOKUP(H125,'Amount Impute Table'!$A$16:$F$20,MATCH(E125,'Amount Impute Table'!$B$15:$F$15,0)+1,0)),B125)</f>
        <v>845.03</v>
      </c>
    </row>
    <row r="126" spans="1:9" x14ac:dyDescent="0.2">
      <c r="A126">
        <v>376</v>
      </c>
      <c r="B126">
        <v>319.66000000000003</v>
      </c>
      <c r="C126">
        <v>16478</v>
      </c>
      <c r="D126" t="s">
        <v>10</v>
      </c>
      <c r="E126" t="s">
        <v>8</v>
      </c>
      <c r="F126">
        <v>75</v>
      </c>
      <c r="G126">
        <v>0</v>
      </c>
      <c r="H126" t="str">
        <f>IF(ISBLANK(D126),IF(G126=1,VLOOKUP(E126,'Location Impute Tables'!$A$5:$J$9,10,0),VLOOKUP(E126,'Location Impute Tables'!$A$25:$J$29,10,0)),D126)</f>
        <v>Miami</v>
      </c>
      <c r="I126">
        <f>IF(ISBLANK(B126),IF(G126=1,VLOOKUP(H126,'Amount Impute Table'!$A$5:$F$9,MATCH(fraud_data!E126,'Amount Impute Table'!$B$4:$F$4,0)+1,FALSE),VLOOKUP(H126,'Amount Impute Table'!$A$16:$F$20,MATCH(E126,'Amount Impute Table'!$B$15:$F$15,0)+1,0)),B126)</f>
        <v>319.66000000000003</v>
      </c>
    </row>
    <row r="127" spans="1:9" x14ac:dyDescent="0.2">
      <c r="A127">
        <v>375</v>
      </c>
      <c r="B127">
        <v>72.12</v>
      </c>
      <c r="C127">
        <v>20609</v>
      </c>
      <c r="D127" t="s">
        <v>7</v>
      </c>
      <c r="E127" t="s">
        <v>12</v>
      </c>
      <c r="F127">
        <v>52</v>
      </c>
      <c r="G127">
        <v>0</v>
      </c>
      <c r="H127" t="str">
        <f>IF(ISBLANK(D127),IF(G127=1,VLOOKUP(E127,'Location Impute Tables'!$A$5:$J$9,10,0),VLOOKUP(E127,'Location Impute Tables'!$A$25:$J$29,10,0)),D127)</f>
        <v>Chicago</v>
      </c>
      <c r="I127">
        <f>IF(ISBLANK(B127),IF(G127=1,VLOOKUP(H127,'Amount Impute Table'!$A$5:$F$9,MATCH(fraud_data!E127,'Amount Impute Table'!$B$4:$F$4,0)+1,FALSE),VLOOKUP(H127,'Amount Impute Table'!$A$16:$F$20,MATCH(E127,'Amount Impute Table'!$B$15:$F$15,0)+1,0)),B127)</f>
        <v>72.12</v>
      </c>
    </row>
    <row r="128" spans="1:9" x14ac:dyDescent="0.2">
      <c r="A128">
        <v>374</v>
      </c>
      <c r="B128">
        <v>683.32</v>
      </c>
      <c r="C128">
        <v>3756</v>
      </c>
      <c r="D128" t="s">
        <v>9</v>
      </c>
      <c r="E128" t="s">
        <v>14</v>
      </c>
      <c r="F128">
        <v>38</v>
      </c>
      <c r="G128">
        <v>0</v>
      </c>
      <c r="H128" t="str">
        <f>IF(ISBLANK(D128),IF(G128=1,VLOOKUP(E128,'Location Impute Tables'!$A$5:$J$9,10,0),VLOOKUP(E128,'Location Impute Tables'!$A$25:$J$29,10,0)),D128)</f>
        <v>Los Angeles</v>
      </c>
      <c r="I128">
        <f>IF(ISBLANK(B128),IF(G128=1,VLOOKUP(H128,'Amount Impute Table'!$A$5:$F$9,MATCH(fraud_data!E128,'Amount Impute Table'!$B$4:$F$4,0)+1,FALSE),VLOOKUP(H128,'Amount Impute Table'!$A$16:$F$20,MATCH(E128,'Amount Impute Table'!$B$15:$F$15,0)+1,0)),B128)</f>
        <v>683.32</v>
      </c>
    </row>
    <row r="129" spans="1:9" x14ac:dyDescent="0.2">
      <c r="A129">
        <v>373</v>
      </c>
      <c r="B129">
        <v>95.35</v>
      </c>
      <c r="C129">
        <v>84291</v>
      </c>
      <c r="D129" t="s">
        <v>9</v>
      </c>
      <c r="E129" t="s">
        <v>8</v>
      </c>
      <c r="F129">
        <v>73</v>
      </c>
      <c r="G129">
        <v>0</v>
      </c>
      <c r="H129" t="str">
        <f>IF(ISBLANK(D129),IF(G129=1,VLOOKUP(E129,'Location Impute Tables'!$A$5:$J$9,10,0),VLOOKUP(E129,'Location Impute Tables'!$A$25:$J$29,10,0)),D129)</f>
        <v>Los Angeles</v>
      </c>
      <c r="I129">
        <f>IF(ISBLANK(B129),IF(G129=1,VLOOKUP(H129,'Amount Impute Table'!$A$5:$F$9,MATCH(fraud_data!E129,'Amount Impute Table'!$B$4:$F$4,0)+1,FALSE),VLOOKUP(H129,'Amount Impute Table'!$A$16:$F$20,MATCH(E129,'Amount Impute Table'!$B$15:$F$15,0)+1,0)),B129)</f>
        <v>95.35</v>
      </c>
    </row>
    <row r="130" spans="1:9" x14ac:dyDescent="0.2">
      <c r="A130">
        <v>372</v>
      </c>
      <c r="B130">
        <v>19.2</v>
      </c>
      <c r="C130">
        <v>14382</v>
      </c>
      <c r="D130" t="s">
        <v>7</v>
      </c>
      <c r="E130" t="s">
        <v>12</v>
      </c>
      <c r="G130">
        <v>0</v>
      </c>
      <c r="H130" t="str">
        <f>IF(ISBLANK(D130),IF(G130=1,VLOOKUP(E130,'Location Impute Tables'!$A$5:$J$9,10,0),VLOOKUP(E130,'Location Impute Tables'!$A$25:$J$29,10,0)),D130)</f>
        <v>Chicago</v>
      </c>
      <c r="I130">
        <f>IF(ISBLANK(B130),IF(G130=1,VLOOKUP(H130,'Amount Impute Table'!$A$5:$F$9,MATCH(fraud_data!E130,'Amount Impute Table'!$B$4:$F$4,0)+1,FALSE),VLOOKUP(H130,'Amount Impute Table'!$A$16:$F$20,MATCH(E130,'Amount Impute Table'!$B$15:$F$15,0)+1,0)),B130)</f>
        <v>19.2</v>
      </c>
    </row>
    <row r="131" spans="1:9" x14ac:dyDescent="0.2">
      <c r="A131">
        <v>371</v>
      </c>
      <c r="B131">
        <v>101.68</v>
      </c>
      <c r="C131">
        <v>64772</v>
      </c>
      <c r="D131" t="s">
        <v>15</v>
      </c>
      <c r="E131" t="s">
        <v>12</v>
      </c>
      <c r="F131">
        <v>63</v>
      </c>
      <c r="G131">
        <v>0</v>
      </c>
      <c r="H131" t="str">
        <f>IF(ISBLANK(D131),IF(G131=1,VLOOKUP(E131,'Location Impute Tables'!$A$5:$J$9,10,0),VLOOKUP(E131,'Location Impute Tables'!$A$25:$J$29,10,0)),D131)</f>
        <v>New York</v>
      </c>
      <c r="I131">
        <f>IF(ISBLANK(B131),IF(G131=1,VLOOKUP(H131,'Amount Impute Table'!$A$5:$F$9,MATCH(fraud_data!E131,'Amount Impute Table'!$B$4:$F$4,0)+1,FALSE),VLOOKUP(H131,'Amount Impute Table'!$A$16:$F$20,MATCH(E131,'Amount Impute Table'!$B$15:$F$15,0)+1,0)),B131)</f>
        <v>101.68</v>
      </c>
    </row>
    <row r="132" spans="1:9" x14ac:dyDescent="0.2">
      <c r="A132">
        <v>370</v>
      </c>
      <c r="B132">
        <v>70.290000000000006</v>
      </c>
      <c r="C132">
        <v>20103</v>
      </c>
      <c r="D132" t="s">
        <v>9</v>
      </c>
      <c r="E132" t="s">
        <v>8</v>
      </c>
      <c r="F132">
        <v>68</v>
      </c>
      <c r="G132">
        <v>0</v>
      </c>
      <c r="H132" t="str">
        <f>IF(ISBLANK(D132),IF(G132=1,VLOOKUP(E132,'Location Impute Tables'!$A$5:$J$9,10,0),VLOOKUP(E132,'Location Impute Tables'!$A$25:$J$29,10,0)),D132)</f>
        <v>Los Angeles</v>
      </c>
      <c r="I132">
        <f>IF(ISBLANK(B132),IF(G132=1,VLOOKUP(H132,'Amount Impute Table'!$A$5:$F$9,MATCH(fraud_data!E132,'Amount Impute Table'!$B$4:$F$4,0)+1,FALSE),VLOOKUP(H132,'Amount Impute Table'!$A$16:$F$20,MATCH(E132,'Amount Impute Table'!$B$15:$F$15,0)+1,0)),B132)</f>
        <v>70.290000000000006</v>
      </c>
    </row>
    <row r="133" spans="1:9" x14ac:dyDescent="0.2">
      <c r="A133">
        <v>369</v>
      </c>
      <c r="B133">
        <v>196.6</v>
      </c>
      <c r="C133">
        <v>40631</v>
      </c>
      <c r="D133" t="s">
        <v>10</v>
      </c>
      <c r="E133" t="s">
        <v>12</v>
      </c>
      <c r="F133">
        <v>49</v>
      </c>
      <c r="G133">
        <v>0</v>
      </c>
      <c r="H133" t="str">
        <f>IF(ISBLANK(D133),IF(G133=1,VLOOKUP(E133,'Location Impute Tables'!$A$5:$J$9,10,0),VLOOKUP(E133,'Location Impute Tables'!$A$25:$J$29,10,0)),D133)</f>
        <v>Miami</v>
      </c>
      <c r="I133">
        <f>IF(ISBLANK(B133),IF(G133=1,VLOOKUP(H133,'Amount Impute Table'!$A$5:$F$9,MATCH(fraud_data!E133,'Amount Impute Table'!$B$4:$F$4,0)+1,FALSE),VLOOKUP(H133,'Amount Impute Table'!$A$16:$F$20,MATCH(E133,'Amount Impute Table'!$B$15:$F$15,0)+1,0)),B133)</f>
        <v>196.6</v>
      </c>
    </row>
    <row r="134" spans="1:9" x14ac:dyDescent="0.2">
      <c r="A134">
        <v>368</v>
      </c>
      <c r="B134">
        <v>905.45</v>
      </c>
      <c r="C134">
        <v>64435</v>
      </c>
      <c r="D134" t="s">
        <v>7</v>
      </c>
      <c r="E134" t="s">
        <v>8</v>
      </c>
      <c r="F134">
        <v>61</v>
      </c>
      <c r="G134">
        <v>0</v>
      </c>
      <c r="H134" t="str">
        <f>IF(ISBLANK(D134),IF(G134=1,VLOOKUP(E134,'Location Impute Tables'!$A$5:$J$9,10,0),VLOOKUP(E134,'Location Impute Tables'!$A$25:$J$29,10,0)),D134)</f>
        <v>Chicago</v>
      </c>
      <c r="I134">
        <f>IF(ISBLANK(B134),IF(G134=1,VLOOKUP(H134,'Amount Impute Table'!$A$5:$F$9,MATCH(fraud_data!E134,'Amount Impute Table'!$B$4:$F$4,0)+1,FALSE),VLOOKUP(H134,'Amount Impute Table'!$A$16:$F$20,MATCH(E134,'Amount Impute Table'!$B$15:$F$15,0)+1,0)),B134)</f>
        <v>905.45</v>
      </c>
    </row>
    <row r="135" spans="1:9" x14ac:dyDescent="0.2">
      <c r="A135">
        <v>367</v>
      </c>
      <c r="B135">
        <v>961.23</v>
      </c>
      <c r="C135">
        <v>71895</v>
      </c>
      <c r="D135" t="s">
        <v>10</v>
      </c>
      <c r="E135" t="s">
        <v>16</v>
      </c>
      <c r="F135">
        <v>38</v>
      </c>
      <c r="G135">
        <v>0</v>
      </c>
      <c r="H135" t="str">
        <f>IF(ISBLANK(D135),IF(G135=1,VLOOKUP(E135,'Location Impute Tables'!$A$5:$J$9,10,0),VLOOKUP(E135,'Location Impute Tables'!$A$25:$J$29,10,0)),D135)</f>
        <v>Miami</v>
      </c>
      <c r="I135">
        <f>IF(ISBLANK(B135),IF(G135=1,VLOOKUP(H135,'Amount Impute Table'!$A$5:$F$9,MATCH(fraud_data!E135,'Amount Impute Table'!$B$4:$F$4,0)+1,FALSE),VLOOKUP(H135,'Amount Impute Table'!$A$16:$F$20,MATCH(E135,'Amount Impute Table'!$B$15:$F$15,0)+1,0)),B135)</f>
        <v>961.23</v>
      </c>
    </row>
    <row r="136" spans="1:9" x14ac:dyDescent="0.2">
      <c r="A136">
        <v>366</v>
      </c>
      <c r="B136">
        <v>386.72</v>
      </c>
      <c r="C136">
        <v>71907</v>
      </c>
      <c r="D136" t="s">
        <v>13</v>
      </c>
      <c r="E136" t="s">
        <v>14</v>
      </c>
      <c r="F136">
        <v>37</v>
      </c>
      <c r="G136">
        <v>0</v>
      </c>
      <c r="H136" t="str">
        <f>IF(ISBLANK(D136),IF(G136=1,VLOOKUP(E136,'Location Impute Tables'!$A$5:$J$9,10,0),VLOOKUP(E136,'Location Impute Tables'!$A$25:$J$29,10,0)),D136)</f>
        <v>Houston</v>
      </c>
      <c r="I136">
        <f>IF(ISBLANK(B136),IF(G136=1,VLOOKUP(H136,'Amount Impute Table'!$A$5:$F$9,MATCH(fraud_data!E136,'Amount Impute Table'!$B$4:$F$4,0)+1,FALSE),VLOOKUP(H136,'Amount Impute Table'!$A$16:$F$20,MATCH(E136,'Amount Impute Table'!$B$15:$F$15,0)+1,0)),B136)</f>
        <v>386.72</v>
      </c>
    </row>
    <row r="137" spans="1:9" x14ac:dyDescent="0.2">
      <c r="A137">
        <v>365</v>
      </c>
      <c r="B137">
        <v>941.52</v>
      </c>
      <c r="C137">
        <v>29486</v>
      </c>
      <c r="D137" t="s">
        <v>7</v>
      </c>
      <c r="E137" t="s">
        <v>14</v>
      </c>
      <c r="F137">
        <v>47</v>
      </c>
      <c r="G137">
        <v>0</v>
      </c>
      <c r="H137" t="str">
        <f>IF(ISBLANK(D137),IF(G137=1,VLOOKUP(E137,'Location Impute Tables'!$A$5:$J$9,10,0),VLOOKUP(E137,'Location Impute Tables'!$A$25:$J$29,10,0)),D137)</f>
        <v>Chicago</v>
      </c>
      <c r="I137">
        <f>IF(ISBLANK(B137),IF(G137=1,VLOOKUP(H137,'Amount Impute Table'!$A$5:$F$9,MATCH(fraud_data!E137,'Amount Impute Table'!$B$4:$F$4,0)+1,FALSE),VLOOKUP(H137,'Amount Impute Table'!$A$16:$F$20,MATCH(E137,'Amount Impute Table'!$B$15:$F$15,0)+1,0)),B137)</f>
        <v>941.52</v>
      </c>
    </row>
    <row r="138" spans="1:9" x14ac:dyDescent="0.2">
      <c r="A138">
        <v>364</v>
      </c>
      <c r="B138">
        <v>546.07000000000005</v>
      </c>
      <c r="C138">
        <v>23710</v>
      </c>
      <c r="D138" t="s">
        <v>13</v>
      </c>
      <c r="E138" t="s">
        <v>11</v>
      </c>
      <c r="F138">
        <v>69</v>
      </c>
      <c r="G138">
        <v>0</v>
      </c>
      <c r="H138" t="str">
        <f>IF(ISBLANK(D138),IF(G138=1,VLOOKUP(E138,'Location Impute Tables'!$A$5:$J$9,10,0),VLOOKUP(E138,'Location Impute Tables'!$A$25:$J$29,10,0)),D138)</f>
        <v>Houston</v>
      </c>
      <c r="I138">
        <f>IF(ISBLANK(B138),IF(G138=1,VLOOKUP(H138,'Amount Impute Table'!$A$5:$F$9,MATCH(fraud_data!E138,'Amount Impute Table'!$B$4:$F$4,0)+1,FALSE),VLOOKUP(H138,'Amount Impute Table'!$A$16:$F$20,MATCH(E138,'Amount Impute Table'!$B$15:$F$15,0)+1,0)),B138)</f>
        <v>546.07000000000005</v>
      </c>
    </row>
    <row r="139" spans="1:9" x14ac:dyDescent="0.2">
      <c r="A139">
        <v>363</v>
      </c>
      <c r="B139">
        <v>458.79</v>
      </c>
      <c r="C139">
        <v>55180</v>
      </c>
      <c r="D139" t="s">
        <v>9</v>
      </c>
      <c r="E139" t="s">
        <v>12</v>
      </c>
      <c r="F139">
        <v>39</v>
      </c>
      <c r="G139">
        <v>0</v>
      </c>
      <c r="H139" t="str">
        <f>IF(ISBLANK(D139),IF(G139=1,VLOOKUP(E139,'Location Impute Tables'!$A$5:$J$9,10,0),VLOOKUP(E139,'Location Impute Tables'!$A$25:$J$29,10,0)),D139)</f>
        <v>Los Angeles</v>
      </c>
      <c r="I139">
        <f>IF(ISBLANK(B139),IF(G139=1,VLOOKUP(H139,'Amount Impute Table'!$A$5:$F$9,MATCH(fraud_data!E139,'Amount Impute Table'!$B$4:$F$4,0)+1,FALSE),VLOOKUP(H139,'Amount Impute Table'!$A$16:$F$20,MATCH(E139,'Amount Impute Table'!$B$15:$F$15,0)+1,0)),B139)</f>
        <v>458.79</v>
      </c>
    </row>
    <row r="140" spans="1:9" x14ac:dyDescent="0.2">
      <c r="A140">
        <v>362</v>
      </c>
      <c r="C140">
        <v>46197</v>
      </c>
      <c r="D140" t="s">
        <v>10</v>
      </c>
      <c r="E140" t="s">
        <v>14</v>
      </c>
      <c r="F140">
        <v>67</v>
      </c>
      <c r="G140">
        <v>1</v>
      </c>
      <c r="H140" t="str">
        <f>IF(ISBLANK(D140),IF(G140=1,VLOOKUP(E140,'Location Impute Tables'!$A$5:$J$9,10,0),VLOOKUP(E140,'Location Impute Tables'!$A$25:$J$29,10,0)),D140)</f>
        <v>Miami</v>
      </c>
      <c r="I140">
        <f>IF(ISBLANK(B140),IF(G140=1,VLOOKUP(H140,'Amount Impute Table'!$A$5:$F$9,MATCH(fraud_data!E140,'Amount Impute Table'!$B$4:$F$4,0)+1,FALSE),VLOOKUP(H140,'Amount Impute Table'!$A$16:$F$20,MATCH(E140,'Amount Impute Table'!$B$15:$F$15,0)+1,0)),B140)</f>
        <v>225.05</v>
      </c>
    </row>
    <row r="141" spans="1:9" x14ac:dyDescent="0.2">
      <c r="A141">
        <v>361</v>
      </c>
      <c r="B141">
        <v>388.78</v>
      </c>
      <c r="C141">
        <v>43872</v>
      </c>
      <c r="D141" t="s">
        <v>15</v>
      </c>
      <c r="E141" t="s">
        <v>16</v>
      </c>
      <c r="G141">
        <v>0</v>
      </c>
      <c r="H141" t="str">
        <f>IF(ISBLANK(D141),IF(G141=1,VLOOKUP(E141,'Location Impute Tables'!$A$5:$J$9,10,0),VLOOKUP(E141,'Location Impute Tables'!$A$25:$J$29,10,0)),D141)</f>
        <v>New York</v>
      </c>
      <c r="I141">
        <f>IF(ISBLANK(B141),IF(G141=1,VLOOKUP(H141,'Amount Impute Table'!$A$5:$F$9,MATCH(fraud_data!E141,'Amount Impute Table'!$B$4:$F$4,0)+1,FALSE),VLOOKUP(H141,'Amount Impute Table'!$A$16:$F$20,MATCH(E141,'Amount Impute Table'!$B$15:$F$15,0)+1,0)),B141)</f>
        <v>388.78</v>
      </c>
    </row>
    <row r="142" spans="1:9" x14ac:dyDescent="0.2">
      <c r="A142">
        <v>360</v>
      </c>
      <c r="B142">
        <v>9691.5786432565801</v>
      </c>
      <c r="C142">
        <v>32265</v>
      </c>
      <c r="D142" t="s">
        <v>10</v>
      </c>
      <c r="E142" t="s">
        <v>8</v>
      </c>
      <c r="F142">
        <v>75</v>
      </c>
      <c r="G142">
        <v>0</v>
      </c>
      <c r="H142" t="str">
        <f>IF(ISBLANK(D142),IF(G142=1,VLOOKUP(E142,'Location Impute Tables'!$A$5:$J$9,10,0),VLOOKUP(E142,'Location Impute Tables'!$A$25:$J$29,10,0)),D142)</f>
        <v>Miami</v>
      </c>
      <c r="I142">
        <f>IF(ISBLANK(B142),IF(G142=1,VLOOKUP(H142,'Amount Impute Table'!$A$5:$F$9,MATCH(fraud_data!E142,'Amount Impute Table'!$B$4:$F$4,0)+1,FALSE),VLOOKUP(H142,'Amount Impute Table'!$A$16:$F$20,MATCH(E142,'Amount Impute Table'!$B$15:$F$15,0)+1,0)),B142)</f>
        <v>9691.5786432565801</v>
      </c>
    </row>
    <row r="143" spans="1:9" x14ac:dyDescent="0.2">
      <c r="A143">
        <v>359</v>
      </c>
      <c r="B143">
        <v>940.29</v>
      </c>
      <c r="C143">
        <v>59201</v>
      </c>
      <c r="D143" t="s">
        <v>7</v>
      </c>
      <c r="E143" t="s">
        <v>16</v>
      </c>
      <c r="F143">
        <v>5</v>
      </c>
      <c r="G143">
        <v>0</v>
      </c>
      <c r="H143" t="str">
        <f>IF(ISBLANK(D143),IF(G143=1,VLOOKUP(E143,'Location Impute Tables'!$A$5:$J$9,10,0),VLOOKUP(E143,'Location Impute Tables'!$A$25:$J$29,10,0)),D143)</f>
        <v>Chicago</v>
      </c>
      <c r="I143">
        <f>IF(ISBLANK(B143),IF(G143=1,VLOOKUP(H143,'Amount Impute Table'!$A$5:$F$9,MATCH(fraud_data!E143,'Amount Impute Table'!$B$4:$F$4,0)+1,FALSE),VLOOKUP(H143,'Amount Impute Table'!$A$16:$F$20,MATCH(E143,'Amount Impute Table'!$B$15:$F$15,0)+1,0)),B143)</f>
        <v>940.29</v>
      </c>
    </row>
    <row r="144" spans="1:9" x14ac:dyDescent="0.2">
      <c r="A144">
        <v>358</v>
      </c>
      <c r="B144">
        <v>586.19000000000005</v>
      </c>
      <c r="C144">
        <v>19029</v>
      </c>
      <c r="D144" t="s">
        <v>10</v>
      </c>
      <c r="E144" t="s">
        <v>16</v>
      </c>
      <c r="F144">
        <v>31</v>
      </c>
      <c r="G144">
        <v>1</v>
      </c>
      <c r="H144" t="str">
        <f>IF(ISBLANK(D144),IF(G144=1,VLOOKUP(E144,'Location Impute Tables'!$A$5:$J$9,10,0),VLOOKUP(E144,'Location Impute Tables'!$A$25:$J$29,10,0)),D144)</f>
        <v>Miami</v>
      </c>
      <c r="I144">
        <f>IF(ISBLANK(B144),IF(G144=1,VLOOKUP(H144,'Amount Impute Table'!$A$5:$F$9,MATCH(fraud_data!E144,'Amount Impute Table'!$B$4:$F$4,0)+1,FALSE),VLOOKUP(H144,'Amount Impute Table'!$A$16:$F$20,MATCH(E144,'Amount Impute Table'!$B$15:$F$15,0)+1,0)),B144)</f>
        <v>586.19000000000005</v>
      </c>
    </row>
    <row r="145" spans="1:9" x14ac:dyDescent="0.2">
      <c r="A145">
        <v>357</v>
      </c>
      <c r="B145">
        <v>27.48</v>
      </c>
      <c r="C145">
        <v>67779</v>
      </c>
      <c r="D145" t="s">
        <v>15</v>
      </c>
      <c r="E145" t="s">
        <v>16</v>
      </c>
      <c r="F145">
        <v>76</v>
      </c>
      <c r="G145">
        <v>0</v>
      </c>
      <c r="H145" t="str">
        <f>IF(ISBLANK(D145),IF(G145=1,VLOOKUP(E145,'Location Impute Tables'!$A$5:$J$9,10,0),VLOOKUP(E145,'Location Impute Tables'!$A$25:$J$29,10,0)),D145)</f>
        <v>New York</v>
      </c>
      <c r="I145">
        <f>IF(ISBLANK(B145),IF(G145=1,VLOOKUP(H145,'Amount Impute Table'!$A$5:$F$9,MATCH(fraud_data!E145,'Amount Impute Table'!$B$4:$F$4,0)+1,FALSE),VLOOKUP(H145,'Amount Impute Table'!$A$16:$F$20,MATCH(E145,'Amount Impute Table'!$B$15:$F$15,0)+1,0)),B145)</f>
        <v>27.48</v>
      </c>
    </row>
    <row r="146" spans="1:9" x14ac:dyDescent="0.2">
      <c r="A146">
        <v>356</v>
      </c>
      <c r="C146">
        <v>2336</v>
      </c>
      <c r="D146" t="s">
        <v>7</v>
      </c>
      <c r="E146" t="s">
        <v>12</v>
      </c>
      <c r="F146">
        <v>57</v>
      </c>
      <c r="G146">
        <v>0</v>
      </c>
      <c r="H146" t="str">
        <f>IF(ISBLANK(D146),IF(G146=1,VLOOKUP(E146,'Location Impute Tables'!$A$5:$J$9,10,0),VLOOKUP(E146,'Location Impute Tables'!$A$25:$J$29,10,0)),D146)</f>
        <v>Chicago</v>
      </c>
      <c r="I146">
        <f>IF(ISBLANK(B146),IF(G146=1,VLOOKUP(H146,'Amount Impute Table'!$A$5:$F$9,MATCH(fraud_data!E146,'Amount Impute Table'!$B$4:$F$4,0)+1,FALSE),VLOOKUP(H146,'Amount Impute Table'!$A$16:$F$20,MATCH(E146,'Amount Impute Table'!$B$15:$F$15,0)+1,0)),B146)</f>
        <v>463.83699999999999</v>
      </c>
    </row>
    <row r="147" spans="1:9" x14ac:dyDescent="0.2">
      <c r="A147">
        <v>355</v>
      </c>
      <c r="B147">
        <v>71.5</v>
      </c>
      <c r="C147">
        <v>82870</v>
      </c>
      <c r="D147" t="s">
        <v>7</v>
      </c>
      <c r="E147" t="s">
        <v>14</v>
      </c>
      <c r="F147">
        <v>42</v>
      </c>
      <c r="G147">
        <v>0</v>
      </c>
      <c r="H147" t="str">
        <f>IF(ISBLANK(D147),IF(G147=1,VLOOKUP(E147,'Location Impute Tables'!$A$5:$J$9,10,0),VLOOKUP(E147,'Location Impute Tables'!$A$25:$J$29,10,0)),D147)</f>
        <v>Chicago</v>
      </c>
      <c r="I147">
        <f>IF(ISBLANK(B147),IF(G147=1,VLOOKUP(H147,'Amount Impute Table'!$A$5:$F$9,MATCH(fraud_data!E147,'Amount Impute Table'!$B$4:$F$4,0)+1,FALSE),VLOOKUP(H147,'Amount Impute Table'!$A$16:$F$20,MATCH(E147,'Amount Impute Table'!$B$15:$F$15,0)+1,0)),B147)</f>
        <v>71.5</v>
      </c>
    </row>
    <row r="148" spans="1:9" x14ac:dyDescent="0.2">
      <c r="A148">
        <v>354</v>
      </c>
      <c r="B148">
        <v>163.77000000000001</v>
      </c>
      <c r="C148">
        <v>32154</v>
      </c>
      <c r="D148" t="s">
        <v>15</v>
      </c>
      <c r="E148" t="s">
        <v>12</v>
      </c>
      <c r="F148">
        <v>26</v>
      </c>
      <c r="G148">
        <v>0</v>
      </c>
      <c r="H148" t="str">
        <f>IF(ISBLANK(D148),IF(G148=1,VLOOKUP(E148,'Location Impute Tables'!$A$5:$J$9,10,0),VLOOKUP(E148,'Location Impute Tables'!$A$25:$J$29,10,0)),D148)</f>
        <v>New York</v>
      </c>
      <c r="I148">
        <f>IF(ISBLANK(B148),IF(G148=1,VLOOKUP(H148,'Amount Impute Table'!$A$5:$F$9,MATCH(fraud_data!E148,'Amount Impute Table'!$B$4:$F$4,0)+1,FALSE),VLOOKUP(H148,'Amount Impute Table'!$A$16:$F$20,MATCH(E148,'Amount Impute Table'!$B$15:$F$15,0)+1,0)),B148)</f>
        <v>163.77000000000001</v>
      </c>
    </row>
    <row r="149" spans="1:9" x14ac:dyDescent="0.2">
      <c r="A149">
        <v>353</v>
      </c>
      <c r="C149">
        <v>64484</v>
      </c>
      <c r="D149" t="s">
        <v>13</v>
      </c>
      <c r="E149" t="s">
        <v>8</v>
      </c>
      <c r="F149">
        <v>72</v>
      </c>
      <c r="G149">
        <v>0</v>
      </c>
      <c r="H149" t="str">
        <f>IF(ISBLANK(D149),IF(G149=1,VLOOKUP(E149,'Location Impute Tables'!$A$5:$J$9,10,0),VLOOKUP(E149,'Location Impute Tables'!$A$25:$J$29,10,0)),D149)</f>
        <v>Houston</v>
      </c>
      <c r="I149">
        <f>IF(ISBLANK(B149),IF(G149=1,VLOOKUP(H149,'Amount Impute Table'!$A$5:$F$9,MATCH(fraud_data!E149,'Amount Impute Table'!$B$4:$F$4,0)+1,FALSE),VLOOKUP(H149,'Amount Impute Table'!$A$16:$F$20,MATCH(E149,'Amount Impute Table'!$B$15:$F$15,0)+1,0)),B149)</f>
        <v>344.73066666666659</v>
      </c>
    </row>
    <row r="150" spans="1:9" x14ac:dyDescent="0.2">
      <c r="A150">
        <v>352</v>
      </c>
      <c r="B150">
        <v>856.63</v>
      </c>
      <c r="C150">
        <v>44028</v>
      </c>
      <c r="D150" t="s">
        <v>7</v>
      </c>
      <c r="E150" t="s">
        <v>14</v>
      </c>
      <c r="F150">
        <v>35</v>
      </c>
      <c r="G150">
        <v>0</v>
      </c>
      <c r="H150" t="str">
        <f>IF(ISBLANK(D150),IF(G150=1,VLOOKUP(E150,'Location Impute Tables'!$A$5:$J$9,10,0),VLOOKUP(E150,'Location Impute Tables'!$A$25:$J$29,10,0)),D150)</f>
        <v>Chicago</v>
      </c>
      <c r="I150">
        <f>IF(ISBLANK(B150),IF(G150=1,VLOOKUP(H150,'Amount Impute Table'!$A$5:$F$9,MATCH(fraud_data!E150,'Amount Impute Table'!$B$4:$F$4,0)+1,FALSE),VLOOKUP(H150,'Amount Impute Table'!$A$16:$F$20,MATCH(E150,'Amount Impute Table'!$B$15:$F$15,0)+1,0)),B150)</f>
        <v>856.63</v>
      </c>
    </row>
    <row r="151" spans="1:9" x14ac:dyDescent="0.2">
      <c r="A151">
        <v>351</v>
      </c>
      <c r="B151">
        <v>503.63</v>
      </c>
      <c r="C151">
        <v>66656</v>
      </c>
      <c r="D151" t="s">
        <v>15</v>
      </c>
      <c r="E151" t="s">
        <v>12</v>
      </c>
      <c r="F151">
        <v>57</v>
      </c>
      <c r="G151">
        <v>0</v>
      </c>
      <c r="H151" t="str">
        <f>IF(ISBLANK(D151),IF(G151=1,VLOOKUP(E151,'Location Impute Tables'!$A$5:$J$9,10,0),VLOOKUP(E151,'Location Impute Tables'!$A$25:$J$29,10,0)),D151)</f>
        <v>New York</v>
      </c>
      <c r="I151">
        <f>IF(ISBLANK(B151),IF(G151=1,VLOOKUP(H151,'Amount Impute Table'!$A$5:$F$9,MATCH(fraud_data!E151,'Amount Impute Table'!$B$4:$F$4,0)+1,FALSE),VLOOKUP(H151,'Amount Impute Table'!$A$16:$F$20,MATCH(E151,'Amount Impute Table'!$B$15:$F$15,0)+1,0)),B151)</f>
        <v>503.63</v>
      </c>
    </row>
    <row r="152" spans="1:9" x14ac:dyDescent="0.2">
      <c r="A152">
        <v>350</v>
      </c>
      <c r="B152">
        <v>626.23</v>
      </c>
      <c r="C152">
        <v>10789</v>
      </c>
      <c r="D152" t="s">
        <v>10</v>
      </c>
      <c r="E152" t="s">
        <v>16</v>
      </c>
      <c r="F152">
        <v>34</v>
      </c>
      <c r="G152">
        <v>0</v>
      </c>
      <c r="H152" t="str">
        <f>IF(ISBLANK(D152),IF(G152=1,VLOOKUP(E152,'Location Impute Tables'!$A$5:$J$9,10,0),VLOOKUP(E152,'Location Impute Tables'!$A$25:$J$29,10,0)),D152)</f>
        <v>Miami</v>
      </c>
      <c r="I152">
        <f>IF(ISBLANK(B152),IF(G152=1,VLOOKUP(H152,'Amount Impute Table'!$A$5:$F$9,MATCH(fraud_data!E152,'Amount Impute Table'!$B$4:$F$4,0)+1,FALSE),VLOOKUP(H152,'Amount Impute Table'!$A$16:$F$20,MATCH(E152,'Amount Impute Table'!$B$15:$F$15,0)+1,0)),B152)</f>
        <v>626.23</v>
      </c>
    </row>
    <row r="153" spans="1:9" x14ac:dyDescent="0.2">
      <c r="A153">
        <v>349</v>
      </c>
      <c r="B153">
        <v>375.24</v>
      </c>
      <c r="C153">
        <v>51356</v>
      </c>
      <c r="D153" t="s">
        <v>10</v>
      </c>
      <c r="E153" t="s">
        <v>11</v>
      </c>
      <c r="F153">
        <v>32</v>
      </c>
      <c r="G153">
        <v>0</v>
      </c>
      <c r="H153" t="str">
        <f>IF(ISBLANK(D153),IF(G153=1,VLOOKUP(E153,'Location Impute Tables'!$A$5:$J$9,10,0),VLOOKUP(E153,'Location Impute Tables'!$A$25:$J$29,10,0)),D153)</f>
        <v>Miami</v>
      </c>
      <c r="I153">
        <f>IF(ISBLANK(B153),IF(G153=1,VLOOKUP(H153,'Amount Impute Table'!$A$5:$F$9,MATCH(fraud_data!E153,'Amount Impute Table'!$B$4:$F$4,0)+1,FALSE),VLOOKUP(H153,'Amount Impute Table'!$A$16:$F$20,MATCH(E153,'Amount Impute Table'!$B$15:$F$15,0)+1,0)),B153)</f>
        <v>375.24</v>
      </c>
    </row>
    <row r="154" spans="1:9" x14ac:dyDescent="0.2">
      <c r="A154">
        <v>348</v>
      </c>
      <c r="B154">
        <v>46.26</v>
      </c>
      <c r="C154">
        <v>922</v>
      </c>
      <c r="D154" t="s">
        <v>7</v>
      </c>
      <c r="E154" t="s">
        <v>8</v>
      </c>
      <c r="F154">
        <v>27</v>
      </c>
      <c r="G154">
        <v>0</v>
      </c>
      <c r="H154" t="str">
        <f>IF(ISBLANK(D154),IF(G154=1,VLOOKUP(E154,'Location Impute Tables'!$A$5:$J$9,10,0),VLOOKUP(E154,'Location Impute Tables'!$A$25:$J$29,10,0)),D154)</f>
        <v>Chicago</v>
      </c>
      <c r="I154">
        <f>IF(ISBLANK(B154),IF(G154=1,VLOOKUP(H154,'Amount Impute Table'!$A$5:$F$9,MATCH(fraud_data!E154,'Amount Impute Table'!$B$4:$F$4,0)+1,FALSE),VLOOKUP(H154,'Amount Impute Table'!$A$16:$F$20,MATCH(E154,'Amount Impute Table'!$B$15:$F$15,0)+1,0)),B154)</f>
        <v>46.26</v>
      </c>
    </row>
    <row r="155" spans="1:9" x14ac:dyDescent="0.2">
      <c r="A155">
        <v>347</v>
      </c>
      <c r="B155">
        <v>635.46</v>
      </c>
      <c r="C155">
        <v>9446</v>
      </c>
      <c r="D155" t="s">
        <v>9</v>
      </c>
      <c r="E155" t="s">
        <v>12</v>
      </c>
      <c r="F155">
        <v>28</v>
      </c>
      <c r="G155">
        <v>0</v>
      </c>
      <c r="H155" t="str">
        <f>IF(ISBLANK(D155),IF(G155=1,VLOOKUP(E155,'Location Impute Tables'!$A$5:$J$9,10,0),VLOOKUP(E155,'Location Impute Tables'!$A$25:$J$29,10,0)),D155)</f>
        <v>Los Angeles</v>
      </c>
      <c r="I155">
        <f>IF(ISBLANK(B155),IF(G155=1,VLOOKUP(H155,'Amount Impute Table'!$A$5:$F$9,MATCH(fraud_data!E155,'Amount Impute Table'!$B$4:$F$4,0)+1,FALSE),VLOOKUP(H155,'Amount Impute Table'!$A$16:$F$20,MATCH(E155,'Amount Impute Table'!$B$15:$F$15,0)+1,0)),B155)</f>
        <v>635.46</v>
      </c>
    </row>
    <row r="156" spans="1:9" x14ac:dyDescent="0.2">
      <c r="A156">
        <v>346</v>
      </c>
      <c r="B156">
        <v>616.23</v>
      </c>
      <c r="C156">
        <v>25053</v>
      </c>
      <c r="D156" t="s">
        <v>7</v>
      </c>
      <c r="E156" t="s">
        <v>16</v>
      </c>
      <c r="F156">
        <v>51</v>
      </c>
      <c r="G156">
        <v>0</v>
      </c>
      <c r="H156" t="str">
        <f>IF(ISBLANK(D156),IF(G156=1,VLOOKUP(E156,'Location Impute Tables'!$A$5:$J$9,10,0),VLOOKUP(E156,'Location Impute Tables'!$A$25:$J$29,10,0)),D156)</f>
        <v>Chicago</v>
      </c>
      <c r="I156">
        <f>IF(ISBLANK(B156),IF(G156=1,VLOOKUP(H156,'Amount Impute Table'!$A$5:$F$9,MATCH(fraud_data!E156,'Amount Impute Table'!$B$4:$F$4,0)+1,FALSE),VLOOKUP(H156,'Amount Impute Table'!$A$16:$F$20,MATCH(E156,'Amount Impute Table'!$B$15:$F$15,0)+1,0)),B156)</f>
        <v>616.23</v>
      </c>
    </row>
    <row r="157" spans="1:9" x14ac:dyDescent="0.2">
      <c r="A157">
        <v>345</v>
      </c>
      <c r="B157">
        <v>399.11</v>
      </c>
      <c r="C157">
        <v>59379</v>
      </c>
      <c r="D157" t="s">
        <v>9</v>
      </c>
      <c r="E157" t="s">
        <v>14</v>
      </c>
      <c r="F157">
        <v>77</v>
      </c>
      <c r="G157">
        <v>0</v>
      </c>
      <c r="H157" t="str">
        <f>IF(ISBLANK(D157),IF(G157=1,VLOOKUP(E157,'Location Impute Tables'!$A$5:$J$9,10,0),VLOOKUP(E157,'Location Impute Tables'!$A$25:$J$29,10,0)),D157)</f>
        <v>Los Angeles</v>
      </c>
      <c r="I157">
        <f>IF(ISBLANK(B157),IF(G157=1,VLOOKUP(H157,'Amount Impute Table'!$A$5:$F$9,MATCH(fraud_data!E157,'Amount Impute Table'!$B$4:$F$4,0)+1,FALSE),VLOOKUP(H157,'Amount Impute Table'!$A$16:$F$20,MATCH(E157,'Amount Impute Table'!$B$15:$F$15,0)+1,0)),B157)</f>
        <v>399.11</v>
      </c>
    </row>
    <row r="158" spans="1:9" x14ac:dyDescent="0.2">
      <c r="A158">
        <v>344</v>
      </c>
      <c r="B158">
        <v>434.42</v>
      </c>
      <c r="C158">
        <v>5408</v>
      </c>
      <c r="D158" t="s">
        <v>7</v>
      </c>
      <c r="E158" t="s">
        <v>8</v>
      </c>
      <c r="F158">
        <v>49</v>
      </c>
      <c r="G158">
        <v>0</v>
      </c>
      <c r="H158" t="str">
        <f>IF(ISBLANK(D158),IF(G158=1,VLOOKUP(E158,'Location Impute Tables'!$A$5:$J$9,10,0),VLOOKUP(E158,'Location Impute Tables'!$A$25:$J$29,10,0)),D158)</f>
        <v>Chicago</v>
      </c>
      <c r="I158">
        <f>IF(ISBLANK(B158),IF(G158=1,VLOOKUP(H158,'Amount Impute Table'!$A$5:$F$9,MATCH(fraud_data!E158,'Amount Impute Table'!$B$4:$F$4,0)+1,FALSE),VLOOKUP(H158,'Amount Impute Table'!$A$16:$F$20,MATCH(E158,'Amount Impute Table'!$B$15:$F$15,0)+1,0)),B158)</f>
        <v>434.42</v>
      </c>
    </row>
    <row r="159" spans="1:9" x14ac:dyDescent="0.2">
      <c r="A159">
        <v>343</v>
      </c>
      <c r="B159">
        <v>174.03</v>
      </c>
      <c r="C159">
        <v>71324</v>
      </c>
      <c r="E159" t="s">
        <v>12</v>
      </c>
      <c r="F159">
        <v>49</v>
      </c>
      <c r="G159">
        <v>0</v>
      </c>
      <c r="H159" t="str">
        <f>IF(ISBLANK(D159),IF(G159=1,VLOOKUP(E159,'Location Impute Tables'!$A$5:$J$9,10,0),VLOOKUP(E159,'Location Impute Tables'!$A$25:$J$29,10,0)),D159)</f>
        <v>Miami</v>
      </c>
      <c r="I159">
        <f>IF(ISBLANK(B159),IF(G159=1,VLOOKUP(H159,'Amount Impute Table'!$A$5:$F$9,MATCH(fraud_data!E159,'Amount Impute Table'!$B$4:$F$4,0)+1,FALSE),VLOOKUP(H159,'Amount Impute Table'!$A$16:$F$20,MATCH(E159,'Amount Impute Table'!$B$15:$F$15,0)+1,0)),B159)</f>
        <v>174.03</v>
      </c>
    </row>
    <row r="160" spans="1:9" x14ac:dyDescent="0.2">
      <c r="A160">
        <v>342</v>
      </c>
      <c r="B160">
        <v>474</v>
      </c>
      <c r="C160">
        <v>80910</v>
      </c>
      <c r="D160" t="s">
        <v>10</v>
      </c>
      <c r="E160" t="s">
        <v>12</v>
      </c>
      <c r="F160">
        <v>33</v>
      </c>
      <c r="G160">
        <v>0</v>
      </c>
      <c r="H160" t="str">
        <f>IF(ISBLANK(D160),IF(G160=1,VLOOKUP(E160,'Location Impute Tables'!$A$5:$J$9,10,0),VLOOKUP(E160,'Location Impute Tables'!$A$25:$J$29,10,0)),D160)</f>
        <v>Miami</v>
      </c>
      <c r="I160">
        <f>IF(ISBLANK(B160),IF(G160=1,VLOOKUP(H160,'Amount Impute Table'!$A$5:$F$9,MATCH(fraud_data!E160,'Amount Impute Table'!$B$4:$F$4,0)+1,FALSE),VLOOKUP(H160,'Amount Impute Table'!$A$16:$F$20,MATCH(E160,'Amount Impute Table'!$B$15:$F$15,0)+1,0)),B160)</f>
        <v>474</v>
      </c>
    </row>
    <row r="161" spans="1:9" x14ac:dyDescent="0.2">
      <c r="A161">
        <v>341</v>
      </c>
      <c r="B161">
        <v>492.12</v>
      </c>
      <c r="C161">
        <v>56819</v>
      </c>
      <c r="D161" t="s">
        <v>9</v>
      </c>
      <c r="E161" t="s">
        <v>16</v>
      </c>
      <c r="F161">
        <v>48</v>
      </c>
      <c r="G161">
        <v>0</v>
      </c>
      <c r="H161" t="str">
        <f>IF(ISBLANK(D161),IF(G161=1,VLOOKUP(E161,'Location Impute Tables'!$A$5:$J$9,10,0),VLOOKUP(E161,'Location Impute Tables'!$A$25:$J$29,10,0)),D161)</f>
        <v>Los Angeles</v>
      </c>
      <c r="I161">
        <f>IF(ISBLANK(B161),IF(G161=1,VLOOKUP(H161,'Amount Impute Table'!$A$5:$F$9,MATCH(fraud_data!E161,'Amount Impute Table'!$B$4:$F$4,0)+1,FALSE),VLOOKUP(H161,'Amount Impute Table'!$A$16:$F$20,MATCH(E161,'Amount Impute Table'!$B$15:$F$15,0)+1,0)),B161)</f>
        <v>492.12</v>
      </c>
    </row>
    <row r="162" spans="1:9" x14ac:dyDescent="0.2">
      <c r="A162">
        <v>340</v>
      </c>
      <c r="B162">
        <v>98.74</v>
      </c>
      <c r="C162">
        <v>24519</v>
      </c>
      <c r="D162" t="s">
        <v>15</v>
      </c>
      <c r="E162" t="s">
        <v>12</v>
      </c>
      <c r="F162">
        <v>49</v>
      </c>
      <c r="G162">
        <v>1</v>
      </c>
      <c r="H162" t="str">
        <f>IF(ISBLANK(D162),IF(G162=1,VLOOKUP(E162,'Location Impute Tables'!$A$5:$J$9,10,0),VLOOKUP(E162,'Location Impute Tables'!$A$25:$J$29,10,0)),D162)</f>
        <v>New York</v>
      </c>
      <c r="I162">
        <f>IF(ISBLANK(B162),IF(G162=1,VLOOKUP(H162,'Amount Impute Table'!$A$5:$F$9,MATCH(fraud_data!E162,'Amount Impute Table'!$B$4:$F$4,0)+1,FALSE),VLOOKUP(H162,'Amount Impute Table'!$A$16:$F$20,MATCH(E162,'Amount Impute Table'!$B$15:$F$15,0)+1,0)),B162)</f>
        <v>98.74</v>
      </c>
    </row>
    <row r="163" spans="1:9" x14ac:dyDescent="0.2">
      <c r="A163">
        <v>339</v>
      </c>
      <c r="B163">
        <v>474.7</v>
      </c>
      <c r="C163">
        <v>83122</v>
      </c>
      <c r="D163" t="s">
        <v>10</v>
      </c>
      <c r="E163" t="s">
        <v>11</v>
      </c>
      <c r="F163">
        <v>70</v>
      </c>
      <c r="G163">
        <v>0</v>
      </c>
      <c r="H163" t="str">
        <f>IF(ISBLANK(D163),IF(G163=1,VLOOKUP(E163,'Location Impute Tables'!$A$5:$J$9,10,0),VLOOKUP(E163,'Location Impute Tables'!$A$25:$J$29,10,0)),D163)</f>
        <v>Miami</v>
      </c>
      <c r="I163">
        <f>IF(ISBLANK(B163),IF(G163=1,VLOOKUP(H163,'Amount Impute Table'!$A$5:$F$9,MATCH(fraud_data!E163,'Amount Impute Table'!$B$4:$F$4,0)+1,FALSE),VLOOKUP(H163,'Amount Impute Table'!$A$16:$F$20,MATCH(E163,'Amount Impute Table'!$B$15:$F$15,0)+1,0)),B163)</f>
        <v>474.7</v>
      </c>
    </row>
    <row r="164" spans="1:9" x14ac:dyDescent="0.2">
      <c r="A164">
        <v>338</v>
      </c>
      <c r="B164">
        <v>703.95</v>
      </c>
      <c r="C164">
        <v>54917</v>
      </c>
      <c r="D164" t="s">
        <v>10</v>
      </c>
      <c r="E164" t="s">
        <v>16</v>
      </c>
      <c r="F164">
        <v>30</v>
      </c>
      <c r="G164">
        <v>0</v>
      </c>
      <c r="H164" t="str">
        <f>IF(ISBLANK(D164),IF(G164=1,VLOOKUP(E164,'Location Impute Tables'!$A$5:$J$9,10,0),VLOOKUP(E164,'Location Impute Tables'!$A$25:$J$29,10,0)),D164)</f>
        <v>Miami</v>
      </c>
      <c r="I164">
        <f>IF(ISBLANK(B164),IF(G164=1,VLOOKUP(H164,'Amount Impute Table'!$A$5:$F$9,MATCH(fraud_data!E164,'Amount Impute Table'!$B$4:$F$4,0)+1,FALSE),VLOOKUP(H164,'Amount Impute Table'!$A$16:$F$20,MATCH(E164,'Amount Impute Table'!$B$15:$F$15,0)+1,0)),B164)</f>
        <v>703.95</v>
      </c>
    </row>
    <row r="165" spans="1:9" x14ac:dyDescent="0.2">
      <c r="A165">
        <v>337</v>
      </c>
      <c r="B165">
        <v>855.61</v>
      </c>
      <c r="C165">
        <v>41157</v>
      </c>
      <c r="D165" t="s">
        <v>13</v>
      </c>
      <c r="E165" t="s">
        <v>14</v>
      </c>
      <c r="G165">
        <v>0</v>
      </c>
      <c r="H165" t="str">
        <f>IF(ISBLANK(D165),IF(G165=1,VLOOKUP(E165,'Location Impute Tables'!$A$5:$J$9,10,0),VLOOKUP(E165,'Location Impute Tables'!$A$25:$J$29,10,0)),D165)</f>
        <v>Houston</v>
      </c>
      <c r="I165">
        <f>IF(ISBLANK(B165),IF(G165=1,VLOOKUP(H165,'Amount Impute Table'!$A$5:$F$9,MATCH(fraud_data!E165,'Amount Impute Table'!$B$4:$F$4,0)+1,FALSE),VLOOKUP(H165,'Amount Impute Table'!$A$16:$F$20,MATCH(E165,'Amount Impute Table'!$B$15:$F$15,0)+1,0)),B165)</f>
        <v>855.61</v>
      </c>
    </row>
    <row r="166" spans="1:9" x14ac:dyDescent="0.2">
      <c r="A166">
        <v>336</v>
      </c>
      <c r="B166">
        <v>41.69</v>
      </c>
      <c r="C166">
        <v>67506</v>
      </c>
      <c r="D166" t="s">
        <v>10</v>
      </c>
      <c r="E166" t="s">
        <v>11</v>
      </c>
      <c r="F166">
        <v>19</v>
      </c>
      <c r="G166">
        <v>0</v>
      </c>
      <c r="H166" t="str">
        <f>IF(ISBLANK(D166),IF(G166=1,VLOOKUP(E166,'Location Impute Tables'!$A$5:$J$9,10,0),VLOOKUP(E166,'Location Impute Tables'!$A$25:$J$29,10,0)),D166)</f>
        <v>Miami</v>
      </c>
      <c r="I166">
        <f>IF(ISBLANK(B166),IF(G166=1,VLOOKUP(H166,'Amount Impute Table'!$A$5:$F$9,MATCH(fraud_data!E166,'Amount Impute Table'!$B$4:$F$4,0)+1,FALSE),VLOOKUP(H166,'Amount Impute Table'!$A$16:$F$20,MATCH(E166,'Amount Impute Table'!$B$15:$F$15,0)+1,0)),B166)</f>
        <v>41.69</v>
      </c>
    </row>
    <row r="167" spans="1:9" x14ac:dyDescent="0.2">
      <c r="A167">
        <v>335</v>
      </c>
      <c r="B167">
        <v>46.96</v>
      </c>
      <c r="C167">
        <v>11302</v>
      </c>
      <c r="D167" t="s">
        <v>13</v>
      </c>
      <c r="E167" t="s">
        <v>16</v>
      </c>
      <c r="F167">
        <v>57</v>
      </c>
      <c r="G167">
        <v>0</v>
      </c>
      <c r="H167" t="str">
        <f>IF(ISBLANK(D167),IF(G167=1,VLOOKUP(E167,'Location Impute Tables'!$A$5:$J$9,10,0),VLOOKUP(E167,'Location Impute Tables'!$A$25:$J$29,10,0)),D167)</f>
        <v>Houston</v>
      </c>
      <c r="I167">
        <f>IF(ISBLANK(B167),IF(G167=1,VLOOKUP(H167,'Amount Impute Table'!$A$5:$F$9,MATCH(fraud_data!E167,'Amount Impute Table'!$B$4:$F$4,0)+1,FALSE),VLOOKUP(H167,'Amount Impute Table'!$A$16:$F$20,MATCH(E167,'Amount Impute Table'!$B$15:$F$15,0)+1,0)),B167)</f>
        <v>46.96</v>
      </c>
    </row>
    <row r="168" spans="1:9" x14ac:dyDescent="0.2">
      <c r="A168">
        <v>334</v>
      </c>
      <c r="C168">
        <v>4018</v>
      </c>
      <c r="E168" t="s">
        <v>14</v>
      </c>
      <c r="F168">
        <v>44</v>
      </c>
      <c r="G168">
        <v>0</v>
      </c>
      <c r="H168" t="str">
        <f>IF(ISBLANK(D168),IF(G168=1,VLOOKUP(E168,'Location Impute Tables'!$A$5:$J$9,10,0),VLOOKUP(E168,'Location Impute Tables'!$A$25:$J$29,10,0)),D168)</f>
        <v>Houston</v>
      </c>
      <c r="I168">
        <f>IF(ISBLANK(B168),IF(G168=1,VLOOKUP(H168,'Amount Impute Table'!$A$5:$F$9,MATCH(fraud_data!E168,'Amount Impute Table'!$B$4:$F$4,0)+1,FALSE),VLOOKUP(H168,'Amount Impute Table'!$A$16:$F$20,MATCH(E168,'Amount Impute Table'!$B$15:$F$15,0)+1,0)),B168)</f>
        <v>471.92071428571433</v>
      </c>
    </row>
    <row r="169" spans="1:9" x14ac:dyDescent="0.2">
      <c r="A169">
        <v>333</v>
      </c>
      <c r="C169">
        <v>36455</v>
      </c>
      <c r="D169" t="s">
        <v>9</v>
      </c>
      <c r="E169" t="s">
        <v>16</v>
      </c>
      <c r="G169">
        <v>0</v>
      </c>
      <c r="H169" t="str">
        <f>IF(ISBLANK(D169),IF(G169=1,VLOOKUP(E169,'Location Impute Tables'!$A$5:$J$9,10,0),VLOOKUP(E169,'Location Impute Tables'!$A$25:$J$29,10,0)),D169)</f>
        <v>Los Angeles</v>
      </c>
      <c r="I169">
        <f>IF(ISBLANK(B169),IF(G169=1,VLOOKUP(H169,'Amount Impute Table'!$A$5:$F$9,MATCH(fraud_data!E169,'Amount Impute Table'!$B$4:$F$4,0)+1,FALSE),VLOOKUP(H169,'Amount Impute Table'!$A$16:$F$20,MATCH(E169,'Amount Impute Table'!$B$15:$F$15,0)+1,0)),B169)</f>
        <v>533.33758620689673</v>
      </c>
    </row>
    <row r="170" spans="1:9" x14ac:dyDescent="0.2">
      <c r="A170">
        <v>332</v>
      </c>
      <c r="B170">
        <v>758.09</v>
      </c>
      <c r="C170">
        <v>18381</v>
      </c>
      <c r="D170" t="s">
        <v>9</v>
      </c>
      <c r="E170" t="s">
        <v>14</v>
      </c>
      <c r="F170">
        <v>53</v>
      </c>
      <c r="G170">
        <v>0</v>
      </c>
      <c r="H170" t="str">
        <f>IF(ISBLANK(D170),IF(G170=1,VLOOKUP(E170,'Location Impute Tables'!$A$5:$J$9,10,0),VLOOKUP(E170,'Location Impute Tables'!$A$25:$J$29,10,0)),D170)</f>
        <v>Los Angeles</v>
      </c>
      <c r="I170">
        <f>IF(ISBLANK(B170),IF(G170=1,VLOOKUP(H170,'Amount Impute Table'!$A$5:$F$9,MATCH(fraud_data!E170,'Amount Impute Table'!$B$4:$F$4,0)+1,FALSE),VLOOKUP(H170,'Amount Impute Table'!$A$16:$F$20,MATCH(E170,'Amount Impute Table'!$B$15:$F$15,0)+1,0)),B170)</f>
        <v>758.09</v>
      </c>
    </row>
    <row r="171" spans="1:9" x14ac:dyDescent="0.2">
      <c r="A171">
        <v>331</v>
      </c>
      <c r="B171">
        <v>356.62</v>
      </c>
      <c r="C171">
        <v>45558</v>
      </c>
      <c r="D171" t="s">
        <v>10</v>
      </c>
      <c r="E171" t="s">
        <v>12</v>
      </c>
      <c r="F171">
        <v>38</v>
      </c>
      <c r="G171">
        <v>0</v>
      </c>
      <c r="H171" t="str">
        <f>IF(ISBLANK(D171),IF(G171=1,VLOOKUP(E171,'Location Impute Tables'!$A$5:$J$9,10,0),VLOOKUP(E171,'Location Impute Tables'!$A$25:$J$29,10,0)),D171)</f>
        <v>Miami</v>
      </c>
      <c r="I171">
        <f>IF(ISBLANK(B171),IF(G171=1,VLOOKUP(H171,'Amount Impute Table'!$A$5:$F$9,MATCH(fraud_data!E171,'Amount Impute Table'!$B$4:$F$4,0)+1,FALSE),VLOOKUP(H171,'Amount Impute Table'!$A$16:$F$20,MATCH(E171,'Amount Impute Table'!$B$15:$F$15,0)+1,0)),B171)</f>
        <v>356.62</v>
      </c>
    </row>
    <row r="172" spans="1:9" x14ac:dyDescent="0.2">
      <c r="A172">
        <v>330</v>
      </c>
      <c r="B172">
        <v>248.48</v>
      </c>
      <c r="C172">
        <v>11246</v>
      </c>
      <c r="D172" t="s">
        <v>7</v>
      </c>
      <c r="E172" t="s">
        <v>11</v>
      </c>
      <c r="F172">
        <v>27</v>
      </c>
      <c r="G172">
        <v>0</v>
      </c>
      <c r="H172" t="str">
        <f>IF(ISBLANK(D172),IF(G172=1,VLOOKUP(E172,'Location Impute Tables'!$A$5:$J$9,10,0),VLOOKUP(E172,'Location Impute Tables'!$A$25:$J$29,10,0)),D172)</f>
        <v>Chicago</v>
      </c>
      <c r="I172">
        <f>IF(ISBLANK(B172),IF(G172=1,VLOOKUP(H172,'Amount Impute Table'!$A$5:$F$9,MATCH(fraud_data!E172,'Amount Impute Table'!$B$4:$F$4,0)+1,FALSE),VLOOKUP(H172,'Amount Impute Table'!$A$16:$F$20,MATCH(E172,'Amount Impute Table'!$B$15:$F$15,0)+1,0)),B172)</f>
        <v>248.48</v>
      </c>
    </row>
    <row r="173" spans="1:9" x14ac:dyDescent="0.2">
      <c r="A173">
        <v>329</v>
      </c>
      <c r="B173">
        <v>420.18</v>
      </c>
      <c r="C173">
        <v>34016</v>
      </c>
      <c r="D173" t="s">
        <v>13</v>
      </c>
      <c r="E173" t="s">
        <v>14</v>
      </c>
      <c r="F173">
        <v>67</v>
      </c>
      <c r="G173">
        <v>0</v>
      </c>
      <c r="H173" t="str">
        <f>IF(ISBLANK(D173),IF(G173=1,VLOOKUP(E173,'Location Impute Tables'!$A$5:$J$9,10,0),VLOOKUP(E173,'Location Impute Tables'!$A$25:$J$29,10,0)),D173)</f>
        <v>Houston</v>
      </c>
      <c r="I173">
        <f>IF(ISBLANK(B173),IF(G173=1,VLOOKUP(H173,'Amount Impute Table'!$A$5:$F$9,MATCH(fraud_data!E173,'Amount Impute Table'!$B$4:$F$4,0)+1,FALSE),VLOOKUP(H173,'Amount Impute Table'!$A$16:$F$20,MATCH(E173,'Amount Impute Table'!$B$15:$F$15,0)+1,0)),B173)</f>
        <v>420.18</v>
      </c>
    </row>
    <row r="174" spans="1:9" x14ac:dyDescent="0.2">
      <c r="A174">
        <v>328</v>
      </c>
      <c r="B174">
        <v>612.11</v>
      </c>
      <c r="C174">
        <v>67728</v>
      </c>
      <c r="D174" t="s">
        <v>9</v>
      </c>
      <c r="E174" t="s">
        <v>14</v>
      </c>
      <c r="F174">
        <v>79</v>
      </c>
      <c r="G174">
        <v>0</v>
      </c>
      <c r="H174" t="str">
        <f>IF(ISBLANK(D174),IF(G174=1,VLOOKUP(E174,'Location Impute Tables'!$A$5:$J$9,10,0),VLOOKUP(E174,'Location Impute Tables'!$A$25:$J$29,10,0)),D174)</f>
        <v>Los Angeles</v>
      </c>
      <c r="I174">
        <f>IF(ISBLANK(B174),IF(G174=1,VLOOKUP(H174,'Amount Impute Table'!$A$5:$F$9,MATCH(fraud_data!E174,'Amount Impute Table'!$B$4:$F$4,0)+1,FALSE),VLOOKUP(H174,'Amount Impute Table'!$A$16:$F$20,MATCH(E174,'Amount Impute Table'!$B$15:$F$15,0)+1,0)),B174)</f>
        <v>612.11</v>
      </c>
    </row>
    <row r="175" spans="1:9" x14ac:dyDescent="0.2">
      <c r="A175">
        <v>327</v>
      </c>
      <c r="B175">
        <v>554.79999999999995</v>
      </c>
      <c r="C175">
        <v>19096</v>
      </c>
      <c r="D175" t="s">
        <v>7</v>
      </c>
      <c r="E175" t="s">
        <v>16</v>
      </c>
      <c r="F175">
        <v>72</v>
      </c>
      <c r="G175">
        <v>0</v>
      </c>
      <c r="H175" t="str">
        <f>IF(ISBLANK(D175),IF(G175=1,VLOOKUP(E175,'Location Impute Tables'!$A$5:$J$9,10,0),VLOOKUP(E175,'Location Impute Tables'!$A$25:$J$29,10,0)),D175)</f>
        <v>Chicago</v>
      </c>
      <c r="I175">
        <f>IF(ISBLANK(B175),IF(G175=1,VLOOKUP(H175,'Amount Impute Table'!$A$5:$F$9,MATCH(fraud_data!E175,'Amount Impute Table'!$B$4:$F$4,0)+1,FALSE),VLOOKUP(H175,'Amount Impute Table'!$A$16:$F$20,MATCH(E175,'Amount Impute Table'!$B$15:$F$15,0)+1,0)),B175)</f>
        <v>554.79999999999995</v>
      </c>
    </row>
    <row r="176" spans="1:9" x14ac:dyDescent="0.2">
      <c r="A176">
        <v>326</v>
      </c>
      <c r="B176">
        <v>5516.3250443752404</v>
      </c>
      <c r="C176">
        <v>9184</v>
      </c>
      <c r="D176" t="s">
        <v>7</v>
      </c>
      <c r="E176" t="s">
        <v>11</v>
      </c>
      <c r="F176">
        <v>75</v>
      </c>
      <c r="G176">
        <v>0</v>
      </c>
      <c r="H176" t="str">
        <f>IF(ISBLANK(D176),IF(G176=1,VLOOKUP(E176,'Location Impute Tables'!$A$5:$J$9,10,0),VLOOKUP(E176,'Location Impute Tables'!$A$25:$J$29,10,0)),D176)</f>
        <v>Chicago</v>
      </c>
      <c r="I176">
        <f>IF(ISBLANK(B176),IF(G176=1,VLOOKUP(H176,'Amount Impute Table'!$A$5:$F$9,MATCH(fraud_data!E176,'Amount Impute Table'!$B$4:$F$4,0)+1,FALSE),VLOOKUP(H176,'Amount Impute Table'!$A$16:$F$20,MATCH(E176,'Amount Impute Table'!$B$15:$F$15,0)+1,0)),B176)</f>
        <v>5516.3250443752404</v>
      </c>
    </row>
    <row r="177" spans="1:9" x14ac:dyDescent="0.2">
      <c r="A177">
        <v>325</v>
      </c>
      <c r="B177">
        <v>954.91</v>
      </c>
      <c r="C177">
        <v>18574</v>
      </c>
      <c r="D177" t="s">
        <v>10</v>
      </c>
      <c r="E177" t="s">
        <v>11</v>
      </c>
      <c r="F177">
        <v>42</v>
      </c>
      <c r="G177">
        <v>0</v>
      </c>
      <c r="H177" t="str">
        <f>IF(ISBLANK(D177),IF(G177=1,VLOOKUP(E177,'Location Impute Tables'!$A$5:$J$9,10,0),VLOOKUP(E177,'Location Impute Tables'!$A$25:$J$29,10,0)),D177)</f>
        <v>Miami</v>
      </c>
      <c r="I177">
        <f>IF(ISBLANK(B177),IF(G177=1,VLOOKUP(H177,'Amount Impute Table'!$A$5:$F$9,MATCH(fraud_data!E177,'Amount Impute Table'!$B$4:$F$4,0)+1,FALSE),VLOOKUP(H177,'Amount Impute Table'!$A$16:$F$20,MATCH(E177,'Amount Impute Table'!$B$15:$F$15,0)+1,0)),B177)</f>
        <v>954.91</v>
      </c>
    </row>
    <row r="178" spans="1:9" x14ac:dyDescent="0.2">
      <c r="A178">
        <v>324</v>
      </c>
      <c r="B178">
        <v>280.64999999999998</v>
      </c>
      <c r="C178">
        <v>71520</v>
      </c>
      <c r="D178" t="s">
        <v>15</v>
      </c>
      <c r="E178" t="s">
        <v>16</v>
      </c>
      <c r="F178">
        <v>58</v>
      </c>
      <c r="G178">
        <v>0</v>
      </c>
      <c r="H178" t="str">
        <f>IF(ISBLANK(D178),IF(G178=1,VLOOKUP(E178,'Location Impute Tables'!$A$5:$J$9,10,0),VLOOKUP(E178,'Location Impute Tables'!$A$25:$J$29,10,0)),D178)</f>
        <v>New York</v>
      </c>
      <c r="I178">
        <f>IF(ISBLANK(B178),IF(G178=1,VLOOKUP(H178,'Amount Impute Table'!$A$5:$F$9,MATCH(fraud_data!E178,'Amount Impute Table'!$B$4:$F$4,0)+1,FALSE),VLOOKUP(H178,'Amount Impute Table'!$A$16:$F$20,MATCH(E178,'Amount Impute Table'!$B$15:$F$15,0)+1,0)),B178)</f>
        <v>280.64999999999998</v>
      </c>
    </row>
    <row r="179" spans="1:9" x14ac:dyDescent="0.2">
      <c r="A179">
        <v>323</v>
      </c>
      <c r="B179">
        <v>660.54</v>
      </c>
      <c r="C179">
        <v>72101</v>
      </c>
      <c r="D179" t="s">
        <v>15</v>
      </c>
      <c r="E179" t="s">
        <v>8</v>
      </c>
      <c r="F179">
        <v>58</v>
      </c>
      <c r="G179">
        <v>0</v>
      </c>
      <c r="H179" t="str">
        <f>IF(ISBLANK(D179),IF(G179=1,VLOOKUP(E179,'Location Impute Tables'!$A$5:$J$9,10,0),VLOOKUP(E179,'Location Impute Tables'!$A$25:$J$29,10,0)),D179)</f>
        <v>New York</v>
      </c>
      <c r="I179">
        <f>IF(ISBLANK(B179),IF(G179=1,VLOOKUP(H179,'Amount Impute Table'!$A$5:$F$9,MATCH(fraud_data!E179,'Amount Impute Table'!$B$4:$F$4,0)+1,FALSE),VLOOKUP(H179,'Amount Impute Table'!$A$16:$F$20,MATCH(E179,'Amount Impute Table'!$B$15:$F$15,0)+1,0)),B179)</f>
        <v>660.54</v>
      </c>
    </row>
    <row r="180" spans="1:9" x14ac:dyDescent="0.2">
      <c r="A180">
        <v>322</v>
      </c>
      <c r="B180">
        <v>714.88</v>
      </c>
      <c r="C180">
        <v>73340</v>
      </c>
      <c r="D180" t="s">
        <v>9</v>
      </c>
      <c r="E180" t="s">
        <v>16</v>
      </c>
      <c r="F180">
        <v>31</v>
      </c>
      <c r="G180">
        <v>1</v>
      </c>
      <c r="H180" t="str">
        <f>IF(ISBLANK(D180),IF(G180=1,VLOOKUP(E180,'Location Impute Tables'!$A$5:$J$9,10,0),VLOOKUP(E180,'Location Impute Tables'!$A$25:$J$29,10,0)),D180)</f>
        <v>Los Angeles</v>
      </c>
      <c r="I180">
        <f>IF(ISBLANK(B180),IF(G180=1,VLOOKUP(H180,'Amount Impute Table'!$A$5:$F$9,MATCH(fraud_data!E180,'Amount Impute Table'!$B$4:$F$4,0)+1,FALSE),VLOOKUP(H180,'Amount Impute Table'!$A$16:$F$20,MATCH(E180,'Amount Impute Table'!$B$15:$F$15,0)+1,0)),B180)</f>
        <v>714.88</v>
      </c>
    </row>
    <row r="181" spans="1:9" x14ac:dyDescent="0.2">
      <c r="A181">
        <v>321</v>
      </c>
      <c r="B181">
        <v>549.67999999999995</v>
      </c>
      <c r="C181">
        <v>11954</v>
      </c>
      <c r="D181" t="s">
        <v>13</v>
      </c>
      <c r="E181" t="s">
        <v>14</v>
      </c>
      <c r="F181">
        <v>21</v>
      </c>
      <c r="G181">
        <v>0</v>
      </c>
      <c r="H181" t="str">
        <f>IF(ISBLANK(D181),IF(G181=1,VLOOKUP(E181,'Location Impute Tables'!$A$5:$J$9,10,0),VLOOKUP(E181,'Location Impute Tables'!$A$25:$J$29,10,0)),D181)</f>
        <v>Houston</v>
      </c>
      <c r="I181">
        <f>IF(ISBLANK(B181),IF(G181=1,VLOOKUP(H181,'Amount Impute Table'!$A$5:$F$9,MATCH(fraud_data!E181,'Amount Impute Table'!$B$4:$F$4,0)+1,FALSE),VLOOKUP(H181,'Amount Impute Table'!$A$16:$F$20,MATCH(E181,'Amount Impute Table'!$B$15:$F$15,0)+1,0)),B181)</f>
        <v>549.67999999999995</v>
      </c>
    </row>
    <row r="182" spans="1:9" x14ac:dyDescent="0.2">
      <c r="A182">
        <v>320</v>
      </c>
      <c r="B182">
        <v>250.99</v>
      </c>
      <c r="C182">
        <v>39711</v>
      </c>
      <c r="D182" t="s">
        <v>9</v>
      </c>
      <c r="E182" t="s">
        <v>11</v>
      </c>
      <c r="F182">
        <v>79</v>
      </c>
      <c r="G182">
        <v>0</v>
      </c>
      <c r="H182" t="str">
        <f>IF(ISBLANK(D182),IF(G182=1,VLOOKUP(E182,'Location Impute Tables'!$A$5:$J$9,10,0),VLOOKUP(E182,'Location Impute Tables'!$A$25:$J$29,10,0)),D182)</f>
        <v>Los Angeles</v>
      </c>
      <c r="I182">
        <f>IF(ISBLANK(B182),IF(G182=1,VLOOKUP(H182,'Amount Impute Table'!$A$5:$F$9,MATCH(fraud_data!E182,'Amount Impute Table'!$B$4:$F$4,0)+1,FALSE),VLOOKUP(H182,'Amount Impute Table'!$A$16:$F$20,MATCH(E182,'Amount Impute Table'!$B$15:$F$15,0)+1,0)),B182)</f>
        <v>250.99</v>
      </c>
    </row>
    <row r="183" spans="1:9" x14ac:dyDescent="0.2">
      <c r="A183">
        <v>319</v>
      </c>
      <c r="B183">
        <v>157.28</v>
      </c>
      <c r="C183">
        <v>29287</v>
      </c>
      <c r="D183" t="s">
        <v>15</v>
      </c>
      <c r="E183" t="s">
        <v>14</v>
      </c>
      <c r="F183">
        <v>53</v>
      </c>
      <c r="G183">
        <v>0</v>
      </c>
      <c r="H183" t="str">
        <f>IF(ISBLANK(D183),IF(G183=1,VLOOKUP(E183,'Location Impute Tables'!$A$5:$J$9,10,0),VLOOKUP(E183,'Location Impute Tables'!$A$25:$J$29,10,0)),D183)</f>
        <v>New York</v>
      </c>
      <c r="I183">
        <f>IF(ISBLANK(B183),IF(G183=1,VLOOKUP(H183,'Amount Impute Table'!$A$5:$F$9,MATCH(fraud_data!E183,'Amount Impute Table'!$B$4:$F$4,0)+1,FALSE),VLOOKUP(H183,'Amount Impute Table'!$A$16:$F$20,MATCH(E183,'Amount Impute Table'!$B$15:$F$15,0)+1,0)),B183)</f>
        <v>157.28</v>
      </c>
    </row>
    <row r="184" spans="1:9" x14ac:dyDescent="0.2">
      <c r="A184">
        <v>318</v>
      </c>
      <c r="B184">
        <v>174.12</v>
      </c>
      <c r="C184">
        <v>75046</v>
      </c>
      <c r="D184" t="s">
        <v>7</v>
      </c>
      <c r="E184" t="s">
        <v>14</v>
      </c>
      <c r="F184">
        <v>66</v>
      </c>
      <c r="G184">
        <v>0</v>
      </c>
      <c r="H184" t="str">
        <f>IF(ISBLANK(D184),IF(G184=1,VLOOKUP(E184,'Location Impute Tables'!$A$5:$J$9,10,0),VLOOKUP(E184,'Location Impute Tables'!$A$25:$J$29,10,0)),D184)</f>
        <v>Chicago</v>
      </c>
      <c r="I184">
        <f>IF(ISBLANK(B184),IF(G184=1,VLOOKUP(H184,'Amount Impute Table'!$A$5:$F$9,MATCH(fraud_data!E184,'Amount Impute Table'!$B$4:$F$4,0)+1,FALSE),VLOOKUP(H184,'Amount Impute Table'!$A$16:$F$20,MATCH(E184,'Amount Impute Table'!$B$15:$F$15,0)+1,0)),B184)</f>
        <v>174.12</v>
      </c>
    </row>
    <row r="185" spans="1:9" x14ac:dyDescent="0.2">
      <c r="A185">
        <v>317</v>
      </c>
      <c r="B185">
        <v>409.54</v>
      </c>
      <c r="C185">
        <v>59207</v>
      </c>
      <c r="D185" t="s">
        <v>15</v>
      </c>
      <c r="E185" t="s">
        <v>11</v>
      </c>
      <c r="F185">
        <v>20</v>
      </c>
      <c r="G185">
        <v>0</v>
      </c>
      <c r="H185" t="str">
        <f>IF(ISBLANK(D185),IF(G185=1,VLOOKUP(E185,'Location Impute Tables'!$A$5:$J$9,10,0),VLOOKUP(E185,'Location Impute Tables'!$A$25:$J$29,10,0)),D185)</f>
        <v>New York</v>
      </c>
      <c r="I185">
        <f>IF(ISBLANK(B185),IF(G185=1,VLOOKUP(H185,'Amount Impute Table'!$A$5:$F$9,MATCH(fraud_data!E185,'Amount Impute Table'!$B$4:$F$4,0)+1,FALSE),VLOOKUP(H185,'Amount Impute Table'!$A$16:$F$20,MATCH(E185,'Amount Impute Table'!$B$15:$F$15,0)+1,0)),B185)</f>
        <v>409.54</v>
      </c>
    </row>
    <row r="186" spans="1:9" x14ac:dyDescent="0.2">
      <c r="A186">
        <v>316</v>
      </c>
      <c r="B186">
        <v>696.28</v>
      </c>
      <c r="C186">
        <v>43303</v>
      </c>
      <c r="D186" t="s">
        <v>10</v>
      </c>
      <c r="E186" t="s">
        <v>11</v>
      </c>
      <c r="F186">
        <v>67</v>
      </c>
      <c r="G186">
        <v>0</v>
      </c>
      <c r="H186" t="str">
        <f>IF(ISBLANK(D186),IF(G186=1,VLOOKUP(E186,'Location Impute Tables'!$A$5:$J$9,10,0),VLOOKUP(E186,'Location Impute Tables'!$A$25:$J$29,10,0)),D186)</f>
        <v>Miami</v>
      </c>
      <c r="I186">
        <f>IF(ISBLANK(B186),IF(G186=1,VLOOKUP(H186,'Amount Impute Table'!$A$5:$F$9,MATCH(fraud_data!E186,'Amount Impute Table'!$B$4:$F$4,0)+1,FALSE),VLOOKUP(H186,'Amount Impute Table'!$A$16:$F$20,MATCH(E186,'Amount Impute Table'!$B$15:$F$15,0)+1,0)),B186)</f>
        <v>696.28</v>
      </c>
    </row>
    <row r="187" spans="1:9" x14ac:dyDescent="0.2">
      <c r="A187">
        <v>315</v>
      </c>
      <c r="B187">
        <v>836.14</v>
      </c>
      <c r="C187">
        <v>84056</v>
      </c>
      <c r="D187" t="s">
        <v>13</v>
      </c>
      <c r="E187" t="s">
        <v>16</v>
      </c>
      <c r="F187">
        <v>32</v>
      </c>
      <c r="G187">
        <v>0</v>
      </c>
      <c r="H187" t="str">
        <f>IF(ISBLANK(D187),IF(G187=1,VLOOKUP(E187,'Location Impute Tables'!$A$5:$J$9,10,0),VLOOKUP(E187,'Location Impute Tables'!$A$25:$J$29,10,0)),D187)</f>
        <v>Houston</v>
      </c>
      <c r="I187">
        <f>IF(ISBLANK(B187),IF(G187=1,VLOOKUP(H187,'Amount Impute Table'!$A$5:$F$9,MATCH(fraud_data!E187,'Amount Impute Table'!$B$4:$F$4,0)+1,FALSE),VLOOKUP(H187,'Amount Impute Table'!$A$16:$F$20,MATCH(E187,'Amount Impute Table'!$B$15:$F$15,0)+1,0)),B187)</f>
        <v>836.14</v>
      </c>
    </row>
    <row r="188" spans="1:9" x14ac:dyDescent="0.2">
      <c r="A188">
        <v>314</v>
      </c>
      <c r="B188">
        <v>962.69</v>
      </c>
      <c r="C188">
        <v>82985</v>
      </c>
      <c r="D188" t="s">
        <v>7</v>
      </c>
      <c r="E188" t="s">
        <v>12</v>
      </c>
      <c r="F188">
        <v>19</v>
      </c>
      <c r="G188">
        <v>0</v>
      </c>
      <c r="H188" t="str">
        <f>IF(ISBLANK(D188),IF(G188=1,VLOOKUP(E188,'Location Impute Tables'!$A$5:$J$9,10,0),VLOOKUP(E188,'Location Impute Tables'!$A$25:$J$29,10,0)),D188)</f>
        <v>Chicago</v>
      </c>
      <c r="I188">
        <f>IF(ISBLANK(B188),IF(G188=1,VLOOKUP(H188,'Amount Impute Table'!$A$5:$F$9,MATCH(fraud_data!E188,'Amount Impute Table'!$B$4:$F$4,0)+1,FALSE),VLOOKUP(H188,'Amount Impute Table'!$A$16:$F$20,MATCH(E188,'Amount Impute Table'!$B$15:$F$15,0)+1,0)),B188)</f>
        <v>962.69</v>
      </c>
    </row>
    <row r="189" spans="1:9" x14ac:dyDescent="0.2">
      <c r="A189">
        <v>313</v>
      </c>
      <c r="B189">
        <v>26.33</v>
      </c>
      <c r="C189">
        <v>14060</v>
      </c>
      <c r="D189" t="s">
        <v>7</v>
      </c>
      <c r="E189" t="s">
        <v>11</v>
      </c>
      <c r="F189">
        <v>26</v>
      </c>
      <c r="G189">
        <v>0</v>
      </c>
      <c r="H189" t="str">
        <f>IF(ISBLANK(D189),IF(G189=1,VLOOKUP(E189,'Location Impute Tables'!$A$5:$J$9,10,0),VLOOKUP(E189,'Location Impute Tables'!$A$25:$J$29,10,0)),D189)</f>
        <v>Chicago</v>
      </c>
      <c r="I189">
        <f>IF(ISBLANK(B189),IF(G189=1,VLOOKUP(H189,'Amount Impute Table'!$A$5:$F$9,MATCH(fraud_data!E189,'Amount Impute Table'!$B$4:$F$4,0)+1,FALSE),VLOOKUP(H189,'Amount Impute Table'!$A$16:$F$20,MATCH(E189,'Amount Impute Table'!$B$15:$F$15,0)+1,0)),B189)</f>
        <v>26.33</v>
      </c>
    </row>
    <row r="190" spans="1:9" x14ac:dyDescent="0.2">
      <c r="A190">
        <v>312</v>
      </c>
      <c r="B190">
        <v>79.38</v>
      </c>
      <c r="C190">
        <v>16984</v>
      </c>
      <c r="D190" t="s">
        <v>15</v>
      </c>
      <c r="E190" t="s">
        <v>16</v>
      </c>
      <c r="F190">
        <v>42</v>
      </c>
      <c r="G190">
        <v>0</v>
      </c>
      <c r="H190" t="str">
        <f>IF(ISBLANK(D190),IF(G190=1,VLOOKUP(E190,'Location Impute Tables'!$A$5:$J$9,10,0),VLOOKUP(E190,'Location Impute Tables'!$A$25:$J$29,10,0)),D190)</f>
        <v>New York</v>
      </c>
      <c r="I190">
        <f>IF(ISBLANK(B190),IF(G190=1,VLOOKUP(H190,'Amount Impute Table'!$A$5:$F$9,MATCH(fraud_data!E190,'Amount Impute Table'!$B$4:$F$4,0)+1,FALSE),VLOOKUP(H190,'Amount Impute Table'!$A$16:$F$20,MATCH(E190,'Amount Impute Table'!$B$15:$F$15,0)+1,0)),B190)</f>
        <v>79.38</v>
      </c>
    </row>
    <row r="191" spans="1:9" x14ac:dyDescent="0.2">
      <c r="A191">
        <v>311</v>
      </c>
      <c r="B191">
        <v>439.53</v>
      </c>
      <c r="C191">
        <v>20611</v>
      </c>
      <c r="D191" t="s">
        <v>7</v>
      </c>
      <c r="E191" t="s">
        <v>16</v>
      </c>
      <c r="F191">
        <v>57</v>
      </c>
      <c r="G191">
        <v>0</v>
      </c>
      <c r="H191" t="str">
        <f>IF(ISBLANK(D191),IF(G191=1,VLOOKUP(E191,'Location Impute Tables'!$A$5:$J$9,10,0),VLOOKUP(E191,'Location Impute Tables'!$A$25:$J$29,10,0)),D191)</f>
        <v>Chicago</v>
      </c>
      <c r="I191">
        <f>IF(ISBLANK(B191),IF(G191=1,VLOOKUP(H191,'Amount Impute Table'!$A$5:$F$9,MATCH(fraud_data!E191,'Amount Impute Table'!$B$4:$F$4,0)+1,FALSE),VLOOKUP(H191,'Amount Impute Table'!$A$16:$F$20,MATCH(E191,'Amount Impute Table'!$B$15:$F$15,0)+1,0)),B191)</f>
        <v>439.53</v>
      </c>
    </row>
    <row r="192" spans="1:9" x14ac:dyDescent="0.2">
      <c r="A192">
        <v>310</v>
      </c>
      <c r="B192">
        <v>271.56</v>
      </c>
      <c r="C192">
        <v>77</v>
      </c>
      <c r="D192" t="s">
        <v>9</v>
      </c>
      <c r="E192" t="s">
        <v>14</v>
      </c>
      <c r="F192">
        <v>25</v>
      </c>
      <c r="G192">
        <v>0</v>
      </c>
      <c r="H192" t="str">
        <f>IF(ISBLANK(D192),IF(G192=1,VLOOKUP(E192,'Location Impute Tables'!$A$5:$J$9,10,0),VLOOKUP(E192,'Location Impute Tables'!$A$25:$J$29,10,0)),D192)</f>
        <v>Los Angeles</v>
      </c>
      <c r="I192">
        <f>IF(ISBLANK(B192),IF(G192=1,VLOOKUP(H192,'Amount Impute Table'!$A$5:$F$9,MATCH(fraud_data!E192,'Amount Impute Table'!$B$4:$F$4,0)+1,FALSE),VLOOKUP(H192,'Amount Impute Table'!$A$16:$F$20,MATCH(E192,'Amount Impute Table'!$B$15:$F$15,0)+1,0)),B192)</f>
        <v>271.56</v>
      </c>
    </row>
    <row r="193" spans="1:9" x14ac:dyDescent="0.2">
      <c r="A193">
        <v>309</v>
      </c>
      <c r="B193">
        <v>795.39</v>
      </c>
      <c r="C193">
        <v>23930</v>
      </c>
      <c r="E193" t="s">
        <v>12</v>
      </c>
      <c r="F193">
        <v>48</v>
      </c>
      <c r="G193">
        <v>0</v>
      </c>
      <c r="H193" t="str">
        <f>IF(ISBLANK(D193),IF(G193=1,VLOOKUP(E193,'Location Impute Tables'!$A$5:$J$9,10,0),VLOOKUP(E193,'Location Impute Tables'!$A$25:$J$29,10,0)),D193)</f>
        <v>Miami</v>
      </c>
      <c r="I193">
        <f>IF(ISBLANK(B193),IF(G193=1,VLOOKUP(H193,'Amount Impute Table'!$A$5:$F$9,MATCH(fraud_data!E193,'Amount Impute Table'!$B$4:$F$4,0)+1,FALSE),VLOOKUP(H193,'Amount Impute Table'!$A$16:$F$20,MATCH(E193,'Amount Impute Table'!$B$15:$F$15,0)+1,0)),B193)</f>
        <v>795.39</v>
      </c>
    </row>
    <row r="194" spans="1:9" x14ac:dyDescent="0.2">
      <c r="A194">
        <v>308</v>
      </c>
      <c r="B194">
        <v>323.63</v>
      </c>
      <c r="C194">
        <v>19282</v>
      </c>
      <c r="D194" t="s">
        <v>13</v>
      </c>
      <c r="E194" t="s">
        <v>14</v>
      </c>
      <c r="F194">
        <v>34</v>
      </c>
      <c r="G194">
        <v>0</v>
      </c>
      <c r="H194" t="str">
        <f>IF(ISBLANK(D194),IF(G194=1,VLOOKUP(E194,'Location Impute Tables'!$A$5:$J$9,10,0),VLOOKUP(E194,'Location Impute Tables'!$A$25:$J$29,10,0)),D194)</f>
        <v>Houston</v>
      </c>
      <c r="I194">
        <f>IF(ISBLANK(B194),IF(G194=1,VLOOKUP(H194,'Amount Impute Table'!$A$5:$F$9,MATCH(fraud_data!E194,'Amount Impute Table'!$B$4:$F$4,0)+1,FALSE),VLOOKUP(H194,'Amount Impute Table'!$A$16:$F$20,MATCH(E194,'Amount Impute Table'!$B$15:$F$15,0)+1,0)),B194)</f>
        <v>323.63</v>
      </c>
    </row>
    <row r="195" spans="1:9" x14ac:dyDescent="0.2">
      <c r="A195">
        <v>307</v>
      </c>
      <c r="B195">
        <v>7974.2368975095396</v>
      </c>
      <c r="C195">
        <v>15524</v>
      </c>
      <c r="D195" t="s">
        <v>15</v>
      </c>
      <c r="E195" t="s">
        <v>16</v>
      </c>
      <c r="F195">
        <v>45</v>
      </c>
      <c r="G195">
        <v>0</v>
      </c>
      <c r="H195" t="str">
        <f>IF(ISBLANK(D195),IF(G195=1,VLOOKUP(E195,'Location Impute Tables'!$A$5:$J$9,10,0),VLOOKUP(E195,'Location Impute Tables'!$A$25:$J$29,10,0)),D195)</f>
        <v>New York</v>
      </c>
      <c r="I195">
        <f>IF(ISBLANK(B195),IF(G195=1,VLOOKUP(H195,'Amount Impute Table'!$A$5:$F$9,MATCH(fraud_data!E195,'Amount Impute Table'!$B$4:$F$4,0)+1,FALSE),VLOOKUP(H195,'Amount Impute Table'!$A$16:$F$20,MATCH(E195,'Amount Impute Table'!$B$15:$F$15,0)+1,0)),B195)</f>
        <v>7974.2368975095396</v>
      </c>
    </row>
    <row r="196" spans="1:9" x14ac:dyDescent="0.2">
      <c r="A196">
        <v>306</v>
      </c>
      <c r="B196">
        <v>975.88</v>
      </c>
      <c r="C196">
        <v>30523</v>
      </c>
      <c r="D196" t="s">
        <v>15</v>
      </c>
      <c r="E196" t="s">
        <v>8</v>
      </c>
      <c r="F196">
        <v>65</v>
      </c>
      <c r="G196">
        <v>0</v>
      </c>
      <c r="H196" t="str">
        <f>IF(ISBLANK(D196),IF(G196=1,VLOOKUP(E196,'Location Impute Tables'!$A$5:$J$9,10,0),VLOOKUP(E196,'Location Impute Tables'!$A$25:$J$29,10,0)),D196)</f>
        <v>New York</v>
      </c>
      <c r="I196">
        <f>IF(ISBLANK(B196),IF(G196=1,VLOOKUP(H196,'Amount Impute Table'!$A$5:$F$9,MATCH(fraud_data!E196,'Amount Impute Table'!$B$4:$F$4,0)+1,FALSE),VLOOKUP(H196,'Amount Impute Table'!$A$16:$F$20,MATCH(E196,'Amount Impute Table'!$B$15:$F$15,0)+1,0)),B196)</f>
        <v>975.88</v>
      </c>
    </row>
    <row r="197" spans="1:9" x14ac:dyDescent="0.2">
      <c r="A197">
        <v>305</v>
      </c>
      <c r="B197">
        <v>726.37</v>
      </c>
      <c r="C197">
        <v>58596</v>
      </c>
      <c r="D197" t="s">
        <v>10</v>
      </c>
      <c r="E197" t="s">
        <v>12</v>
      </c>
      <c r="F197">
        <v>49</v>
      </c>
      <c r="G197">
        <v>0</v>
      </c>
      <c r="H197" t="str">
        <f>IF(ISBLANK(D197),IF(G197=1,VLOOKUP(E197,'Location Impute Tables'!$A$5:$J$9,10,0),VLOOKUP(E197,'Location Impute Tables'!$A$25:$J$29,10,0)),D197)</f>
        <v>Miami</v>
      </c>
      <c r="I197">
        <f>IF(ISBLANK(B197),IF(G197=1,VLOOKUP(H197,'Amount Impute Table'!$A$5:$F$9,MATCH(fraud_data!E197,'Amount Impute Table'!$B$4:$F$4,0)+1,FALSE),VLOOKUP(H197,'Amount Impute Table'!$A$16:$F$20,MATCH(E197,'Amount Impute Table'!$B$15:$F$15,0)+1,0)),B197)</f>
        <v>726.37</v>
      </c>
    </row>
    <row r="198" spans="1:9" x14ac:dyDescent="0.2">
      <c r="A198">
        <v>304</v>
      </c>
      <c r="B198">
        <v>637.79</v>
      </c>
      <c r="C198">
        <v>41832</v>
      </c>
      <c r="D198" t="s">
        <v>10</v>
      </c>
      <c r="E198" t="s">
        <v>14</v>
      </c>
      <c r="F198">
        <v>64</v>
      </c>
      <c r="G198">
        <v>0</v>
      </c>
      <c r="H198" t="str">
        <f>IF(ISBLANK(D198),IF(G198=1,VLOOKUP(E198,'Location Impute Tables'!$A$5:$J$9,10,0),VLOOKUP(E198,'Location Impute Tables'!$A$25:$J$29,10,0)),D198)</f>
        <v>Miami</v>
      </c>
      <c r="I198">
        <f>IF(ISBLANK(B198),IF(G198=1,VLOOKUP(H198,'Amount Impute Table'!$A$5:$F$9,MATCH(fraud_data!E198,'Amount Impute Table'!$B$4:$F$4,0)+1,FALSE),VLOOKUP(H198,'Amount Impute Table'!$A$16:$F$20,MATCH(E198,'Amount Impute Table'!$B$15:$F$15,0)+1,0)),B198)</f>
        <v>637.79</v>
      </c>
    </row>
    <row r="199" spans="1:9" x14ac:dyDescent="0.2">
      <c r="A199">
        <v>303</v>
      </c>
      <c r="B199">
        <v>541.09</v>
      </c>
      <c r="C199">
        <v>8007</v>
      </c>
      <c r="D199" t="s">
        <v>7</v>
      </c>
      <c r="E199" t="s">
        <v>14</v>
      </c>
      <c r="F199">
        <v>55</v>
      </c>
      <c r="G199">
        <v>0</v>
      </c>
      <c r="H199" t="str">
        <f>IF(ISBLANK(D199),IF(G199=1,VLOOKUP(E199,'Location Impute Tables'!$A$5:$J$9,10,0),VLOOKUP(E199,'Location Impute Tables'!$A$25:$J$29,10,0)),D199)</f>
        <v>Chicago</v>
      </c>
      <c r="I199">
        <f>IF(ISBLANK(B199),IF(G199=1,VLOOKUP(H199,'Amount Impute Table'!$A$5:$F$9,MATCH(fraud_data!E199,'Amount Impute Table'!$B$4:$F$4,0)+1,FALSE),VLOOKUP(H199,'Amount Impute Table'!$A$16:$F$20,MATCH(E199,'Amount Impute Table'!$B$15:$F$15,0)+1,0)),B199)</f>
        <v>541.09</v>
      </c>
    </row>
    <row r="200" spans="1:9" x14ac:dyDescent="0.2">
      <c r="A200">
        <v>302</v>
      </c>
      <c r="B200">
        <v>531.82000000000005</v>
      </c>
      <c r="C200">
        <v>5951</v>
      </c>
      <c r="D200" t="s">
        <v>7</v>
      </c>
      <c r="E200" t="s">
        <v>16</v>
      </c>
      <c r="F200">
        <v>27</v>
      </c>
      <c r="G200">
        <v>0</v>
      </c>
      <c r="H200" t="str">
        <f>IF(ISBLANK(D200),IF(G200=1,VLOOKUP(E200,'Location Impute Tables'!$A$5:$J$9,10,0),VLOOKUP(E200,'Location Impute Tables'!$A$25:$J$29,10,0)),D200)</f>
        <v>Chicago</v>
      </c>
      <c r="I200">
        <f>IF(ISBLANK(B200),IF(G200=1,VLOOKUP(H200,'Amount Impute Table'!$A$5:$F$9,MATCH(fraud_data!E200,'Amount Impute Table'!$B$4:$F$4,0)+1,FALSE),VLOOKUP(H200,'Amount Impute Table'!$A$16:$F$20,MATCH(E200,'Amount Impute Table'!$B$15:$F$15,0)+1,0)),B200)</f>
        <v>531.82000000000005</v>
      </c>
    </row>
    <row r="201" spans="1:9" x14ac:dyDescent="0.2">
      <c r="A201">
        <v>301</v>
      </c>
      <c r="B201">
        <v>52.63</v>
      </c>
      <c r="C201">
        <v>43925</v>
      </c>
      <c r="D201" t="s">
        <v>15</v>
      </c>
      <c r="E201" t="s">
        <v>12</v>
      </c>
      <c r="G201">
        <v>0</v>
      </c>
      <c r="H201" t="str">
        <f>IF(ISBLANK(D201),IF(G201=1,VLOOKUP(E201,'Location Impute Tables'!$A$5:$J$9,10,0),VLOOKUP(E201,'Location Impute Tables'!$A$25:$J$29,10,0)),D201)</f>
        <v>New York</v>
      </c>
      <c r="I201">
        <f>IF(ISBLANK(B201),IF(G201=1,VLOOKUP(H201,'Amount Impute Table'!$A$5:$F$9,MATCH(fraud_data!E201,'Amount Impute Table'!$B$4:$F$4,0)+1,FALSE),VLOOKUP(H201,'Amount Impute Table'!$A$16:$F$20,MATCH(E201,'Amount Impute Table'!$B$15:$F$15,0)+1,0)),B201)</f>
        <v>52.63</v>
      </c>
    </row>
    <row r="202" spans="1:9" x14ac:dyDescent="0.2">
      <c r="A202">
        <v>300</v>
      </c>
      <c r="B202">
        <v>86.26</v>
      </c>
      <c r="C202">
        <v>36159</v>
      </c>
      <c r="E202" t="s">
        <v>12</v>
      </c>
      <c r="F202">
        <v>49</v>
      </c>
      <c r="G202">
        <v>0</v>
      </c>
      <c r="H202" t="str">
        <f>IF(ISBLANK(D202),IF(G202=1,VLOOKUP(E202,'Location Impute Tables'!$A$5:$J$9,10,0),VLOOKUP(E202,'Location Impute Tables'!$A$25:$J$29,10,0)),D202)</f>
        <v>Miami</v>
      </c>
      <c r="I202">
        <f>IF(ISBLANK(B202),IF(G202=1,VLOOKUP(H202,'Amount Impute Table'!$A$5:$F$9,MATCH(fraud_data!E202,'Amount Impute Table'!$B$4:$F$4,0)+1,FALSE),VLOOKUP(H202,'Amount Impute Table'!$A$16:$F$20,MATCH(E202,'Amount Impute Table'!$B$15:$F$15,0)+1,0)),B202)</f>
        <v>86.26</v>
      </c>
    </row>
    <row r="203" spans="1:9" x14ac:dyDescent="0.2">
      <c r="A203">
        <v>299</v>
      </c>
      <c r="B203">
        <v>623.27</v>
      </c>
      <c r="C203">
        <v>5415</v>
      </c>
      <c r="D203" t="s">
        <v>9</v>
      </c>
      <c r="E203" t="s">
        <v>14</v>
      </c>
      <c r="F203">
        <v>71</v>
      </c>
      <c r="G203">
        <v>0</v>
      </c>
      <c r="H203" t="str">
        <f>IF(ISBLANK(D203),IF(G203=1,VLOOKUP(E203,'Location Impute Tables'!$A$5:$J$9,10,0),VLOOKUP(E203,'Location Impute Tables'!$A$25:$J$29,10,0)),D203)</f>
        <v>Los Angeles</v>
      </c>
      <c r="I203">
        <f>IF(ISBLANK(B203),IF(G203=1,VLOOKUP(H203,'Amount Impute Table'!$A$5:$F$9,MATCH(fraud_data!E203,'Amount Impute Table'!$B$4:$F$4,0)+1,FALSE),VLOOKUP(H203,'Amount Impute Table'!$A$16:$F$20,MATCH(E203,'Amount Impute Table'!$B$15:$F$15,0)+1,0)),B203)</f>
        <v>623.27</v>
      </c>
    </row>
    <row r="204" spans="1:9" x14ac:dyDescent="0.2">
      <c r="A204">
        <v>298</v>
      </c>
      <c r="B204">
        <v>216.61</v>
      </c>
      <c r="C204">
        <v>73698</v>
      </c>
      <c r="D204" t="s">
        <v>7</v>
      </c>
      <c r="E204" t="s">
        <v>11</v>
      </c>
      <c r="F204">
        <v>47</v>
      </c>
      <c r="G204">
        <v>1</v>
      </c>
      <c r="H204" t="str">
        <f>IF(ISBLANK(D204),IF(G204=1,VLOOKUP(E204,'Location Impute Tables'!$A$5:$J$9,10,0),VLOOKUP(E204,'Location Impute Tables'!$A$25:$J$29,10,0)),D204)</f>
        <v>Chicago</v>
      </c>
      <c r="I204">
        <f>IF(ISBLANK(B204),IF(G204=1,VLOOKUP(H204,'Amount Impute Table'!$A$5:$F$9,MATCH(fraud_data!E204,'Amount Impute Table'!$B$4:$F$4,0)+1,FALSE),VLOOKUP(H204,'Amount Impute Table'!$A$16:$F$20,MATCH(E204,'Amount Impute Table'!$B$15:$F$15,0)+1,0)),B204)</f>
        <v>216.61</v>
      </c>
    </row>
    <row r="205" spans="1:9" x14ac:dyDescent="0.2">
      <c r="A205">
        <v>297</v>
      </c>
      <c r="B205">
        <v>770.22</v>
      </c>
      <c r="C205">
        <v>84555</v>
      </c>
      <c r="D205" t="s">
        <v>9</v>
      </c>
      <c r="E205" t="s">
        <v>8</v>
      </c>
      <c r="F205">
        <v>22</v>
      </c>
      <c r="G205">
        <v>0</v>
      </c>
      <c r="H205" t="str">
        <f>IF(ISBLANK(D205),IF(G205=1,VLOOKUP(E205,'Location Impute Tables'!$A$5:$J$9,10,0),VLOOKUP(E205,'Location Impute Tables'!$A$25:$J$29,10,0)),D205)</f>
        <v>Los Angeles</v>
      </c>
      <c r="I205">
        <f>IF(ISBLANK(B205),IF(G205=1,VLOOKUP(H205,'Amount Impute Table'!$A$5:$F$9,MATCH(fraud_data!E205,'Amount Impute Table'!$B$4:$F$4,0)+1,FALSE),VLOOKUP(H205,'Amount Impute Table'!$A$16:$F$20,MATCH(E205,'Amount Impute Table'!$B$15:$F$15,0)+1,0)),B205)</f>
        <v>770.22</v>
      </c>
    </row>
    <row r="206" spans="1:9" x14ac:dyDescent="0.2">
      <c r="A206">
        <v>296</v>
      </c>
      <c r="B206">
        <v>522.72</v>
      </c>
      <c r="C206">
        <v>65441</v>
      </c>
      <c r="D206" t="s">
        <v>7</v>
      </c>
      <c r="E206" t="s">
        <v>12</v>
      </c>
      <c r="F206">
        <v>22</v>
      </c>
      <c r="G206">
        <v>0</v>
      </c>
      <c r="H206" t="str">
        <f>IF(ISBLANK(D206),IF(G206=1,VLOOKUP(E206,'Location Impute Tables'!$A$5:$J$9,10,0),VLOOKUP(E206,'Location Impute Tables'!$A$25:$J$29,10,0)),D206)</f>
        <v>Chicago</v>
      </c>
      <c r="I206">
        <f>IF(ISBLANK(B206),IF(G206=1,VLOOKUP(H206,'Amount Impute Table'!$A$5:$F$9,MATCH(fraud_data!E206,'Amount Impute Table'!$B$4:$F$4,0)+1,FALSE),VLOOKUP(H206,'Amount Impute Table'!$A$16:$F$20,MATCH(E206,'Amount Impute Table'!$B$15:$F$15,0)+1,0)),B206)</f>
        <v>522.72</v>
      </c>
    </row>
    <row r="207" spans="1:9" x14ac:dyDescent="0.2">
      <c r="A207">
        <v>295</v>
      </c>
      <c r="B207">
        <v>127.93</v>
      </c>
      <c r="C207">
        <v>70792</v>
      </c>
      <c r="D207" t="s">
        <v>10</v>
      </c>
      <c r="E207" t="s">
        <v>12</v>
      </c>
      <c r="F207">
        <v>75</v>
      </c>
      <c r="G207">
        <v>0</v>
      </c>
      <c r="H207" t="str">
        <f>IF(ISBLANK(D207),IF(G207=1,VLOOKUP(E207,'Location Impute Tables'!$A$5:$J$9,10,0),VLOOKUP(E207,'Location Impute Tables'!$A$25:$J$29,10,0)),D207)</f>
        <v>Miami</v>
      </c>
      <c r="I207">
        <f>IF(ISBLANK(B207),IF(G207=1,VLOOKUP(H207,'Amount Impute Table'!$A$5:$F$9,MATCH(fraud_data!E207,'Amount Impute Table'!$B$4:$F$4,0)+1,FALSE),VLOOKUP(H207,'Amount Impute Table'!$A$16:$F$20,MATCH(E207,'Amount Impute Table'!$B$15:$F$15,0)+1,0)),B207)</f>
        <v>127.93</v>
      </c>
    </row>
    <row r="208" spans="1:9" x14ac:dyDescent="0.2">
      <c r="A208">
        <v>294</v>
      </c>
      <c r="B208">
        <v>360.83</v>
      </c>
      <c r="C208">
        <v>8567</v>
      </c>
      <c r="D208" t="s">
        <v>15</v>
      </c>
      <c r="E208" t="s">
        <v>11</v>
      </c>
      <c r="G208">
        <v>1</v>
      </c>
      <c r="H208" t="str">
        <f>IF(ISBLANK(D208),IF(G208=1,VLOOKUP(E208,'Location Impute Tables'!$A$5:$J$9,10,0),VLOOKUP(E208,'Location Impute Tables'!$A$25:$J$29,10,0)),D208)</f>
        <v>New York</v>
      </c>
      <c r="I208">
        <f>IF(ISBLANK(B208),IF(G208=1,VLOOKUP(H208,'Amount Impute Table'!$A$5:$F$9,MATCH(fraud_data!E208,'Amount Impute Table'!$B$4:$F$4,0)+1,FALSE),VLOOKUP(H208,'Amount Impute Table'!$A$16:$F$20,MATCH(E208,'Amount Impute Table'!$B$15:$F$15,0)+1,0)),B208)</f>
        <v>360.83</v>
      </c>
    </row>
    <row r="209" spans="1:9" x14ac:dyDescent="0.2">
      <c r="A209">
        <v>293</v>
      </c>
      <c r="B209">
        <v>822.78</v>
      </c>
      <c r="C209">
        <v>67444</v>
      </c>
      <c r="D209" t="s">
        <v>9</v>
      </c>
      <c r="E209" t="s">
        <v>11</v>
      </c>
      <c r="F209">
        <v>68</v>
      </c>
      <c r="G209">
        <v>0</v>
      </c>
      <c r="H209" t="str">
        <f>IF(ISBLANK(D209),IF(G209=1,VLOOKUP(E209,'Location Impute Tables'!$A$5:$J$9,10,0),VLOOKUP(E209,'Location Impute Tables'!$A$25:$J$29,10,0)),D209)</f>
        <v>Los Angeles</v>
      </c>
      <c r="I209">
        <f>IF(ISBLANK(B209),IF(G209=1,VLOOKUP(H209,'Amount Impute Table'!$A$5:$F$9,MATCH(fraud_data!E209,'Amount Impute Table'!$B$4:$F$4,0)+1,FALSE),VLOOKUP(H209,'Amount Impute Table'!$A$16:$F$20,MATCH(E209,'Amount Impute Table'!$B$15:$F$15,0)+1,0)),B209)</f>
        <v>822.78</v>
      </c>
    </row>
    <row r="210" spans="1:9" x14ac:dyDescent="0.2">
      <c r="A210">
        <v>292</v>
      </c>
      <c r="B210">
        <v>38.31</v>
      </c>
      <c r="C210">
        <v>42929</v>
      </c>
      <c r="D210" t="s">
        <v>13</v>
      </c>
      <c r="E210" t="s">
        <v>12</v>
      </c>
      <c r="F210">
        <v>45</v>
      </c>
      <c r="G210">
        <v>0</v>
      </c>
      <c r="H210" t="str">
        <f>IF(ISBLANK(D210),IF(G210=1,VLOOKUP(E210,'Location Impute Tables'!$A$5:$J$9,10,0),VLOOKUP(E210,'Location Impute Tables'!$A$25:$J$29,10,0)),D210)</f>
        <v>Houston</v>
      </c>
      <c r="I210">
        <f>IF(ISBLANK(B210),IF(G210=1,VLOOKUP(H210,'Amount Impute Table'!$A$5:$F$9,MATCH(fraud_data!E210,'Amount Impute Table'!$B$4:$F$4,0)+1,FALSE),VLOOKUP(H210,'Amount Impute Table'!$A$16:$F$20,MATCH(E210,'Amount Impute Table'!$B$15:$F$15,0)+1,0)),B210)</f>
        <v>38.31</v>
      </c>
    </row>
    <row r="211" spans="1:9" x14ac:dyDescent="0.2">
      <c r="A211">
        <v>291</v>
      </c>
      <c r="B211">
        <v>31.47</v>
      </c>
      <c r="C211">
        <v>235</v>
      </c>
      <c r="D211" t="s">
        <v>7</v>
      </c>
      <c r="E211" t="s">
        <v>16</v>
      </c>
      <c r="F211">
        <v>68</v>
      </c>
      <c r="G211">
        <v>1</v>
      </c>
      <c r="H211" t="str">
        <f>IF(ISBLANK(D211),IF(G211=1,VLOOKUP(E211,'Location Impute Tables'!$A$5:$J$9,10,0),VLOOKUP(E211,'Location Impute Tables'!$A$25:$J$29,10,0)),D211)</f>
        <v>Chicago</v>
      </c>
      <c r="I211">
        <f>IF(ISBLANK(B211),IF(G211=1,VLOOKUP(H211,'Amount Impute Table'!$A$5:$F$9,MATCH(fraud_data!E211,'Amount Impute Table'!$B$4:$F$4,0)+1,FALSE),VLOOKUP(H211,'Amount Impute Table'!$A$16:$F$20,MATCH(E211,'Amount Impute Table'!$B$15:$F$15,0)+1,0)),B211)</f>
        <v>31.47</v>
      </c>
    </row>
    <row r="212" spans="1:9" x14ac:dyDescent="0.2">
      <c r="A212">
        <v>290</v>
      </c>
      <c r="B212">
        <v>591.24</v>
      </c>
      <c r="C212">
        <v>12219</v>
      </c>
      <c r="D212" t="s">
        <v>15</v>
      </c>
      <c r="E212" t="s">
        <v>11</v>
      </c>
      <c r="F212">
        <v>24</v>
      </c>
      <c r="G212">
        <v>0</v>
      </c>
      <c r="H212" t="str">
        <f>IF(ISBLANK(D212),IF(G212=1,VLOOKUP(E212,'Location Impute Tables'!$A$5:$J$9,10,0),VLOOKUP(E212,'Location Impute Tables'!$A$25:$J$29,10,0)),D212)</f>
        <v>New York</v>
      </c>
      <c r="I212">
        <f>IF(ISBLANK(B212),IF(G212=1,VLOOKUP(H212,'Amount Impute Table'!$A$5:$F$9,MATCH(fraud_data!E212,'Amount Impute Table'!$B$4:$F$4,0)+1,FALSE),VLOOKUP(H212,'Amount Impute Table'!$A$16:$F$20,MATCH(E212,'Amount Impute Table'!$B$15:$F$15,0)+1,0)),B212)</f>
        <v>591.24</v>
      </c>
    </row>
    <row r="213" spans="1:9" x14ac:dyDescent="0.2">
      <c r="A213">
        <v>289</v>
      </c>
      <c r="B213">
        <v>287.25</v>
      </c>
      <c r="C213">
        <v>83524</v>
      </c>
      <c r="D213" t="s">
        <v>15</v>
      </c>
      <c r="E213" t="s">
        <v>8</v>
      </c>
      <c r="F213">
        <v>36</v>
      </c>
      <c r="G213">
        <v>0</v>
      </c>
      <c r="H213" t="str">
        <f>IF(ISBLANK(D213),IF(G213=1,VLOOKUP(E213,'Location Impute Tables'!$A$5:$J$9,10,0),VLOOKUP(E213,'Location Impute Tables'!$A$25:$J$29,10,0)),D213)</f>
        <v>New York</v>
      </c>
      <c r="I213">
        <f>IF(ISBLANK(B213),IF(G213=1,VLOOKUP(H213,'Amount Impute Table'!$A$5:$F$9,MATCH(fraud_data!E213,'Amount Impute Table'!$B$4:$F$4,0)+1,FALSE),VLOOKUP(H213,'Amount Impute Table'!$A$16:$F$20,MATCH(E213,'Amount Impute Table'!$B$15:$F$15,0)+1,0)),B213)</f>
        <v>287.25</v>
      </c>
    </row>
    <row r="214" spans="1:9" x14ac:dyDescent="0.2">
      <c r="A214">
        <v>288</v>
      </c>
      <c r="B214">
        <v>543.1</v>
      </c>
      <c r="C214">
        <v>42078</v>
      </c>
      <c r="D214" t="s">
        <v>10</v>
      </c>
      <c r="E214" t="s">
        <v>8</v>
      </c>
      <c r="F214">
        <v>32</v>
      </c>
      <c r="G214">
        <v>0</v>
      </c>
      <c r="H214" t="str">
        <f>IF(ISBLANK(D214),IF(G214=1,VLOOKUP(E214,'Location Impute Tables'!$A$5:$J$9,10,0),VLOOKUP(E214,'Location Impute Tables'!$A$25:$J$29,10,0)),D214)</f>
        <v>Miami</v>
      </c>
      <c r="I214">
        <f>IF(ISBLANK(B214),IF(G214=1,VLOOKUP(H214,'Amount Impute Table'!$A$5:$F$9,MATCH(fraud_data!E214,'Amount Impute Table'!$B$4:$F$4,0)+1,FALSE),VLOOKUP(H214,'Amount Impute Table'!$A$16:$F$20,MATCH(E214,'Amount Impute Table'!$B$15:$F$15,0)+1,0)),B214)</f>
        <v>543.1</v>
      </c>
    </row>
    <row r="215" spans="1:9" x14ac:dyDescent="0.2">
      <c r="A215">
        <v>287</v>
      </c>
      <c r="B215">
        <v>466.13</v>
      </c>
      <c r="C215">
        <v>36258</v>
      </c>
      <c r="D215" t="s">
        <v>10</v>
      </c>
      <c r="E215" t="s">
        <v>8</v>
      </c>
      <c r="F215">
        <v>69</v>
      </c>
      <c r="G215">
        <v>0</v>
      </c>
      <c r="H215" t="str">
        <f>IF(ISBLANK(D215),IF(G215=1,VLOOKUP(E215,'Location Impute Tables'!$A$5:$J$9,10,0),VLOOKUP(E215,'Location Impute Tables'!$A$25:$J$29,10,0)),D215)</f>
        <v>Miami</v>
      </c>
      <c r="I215">
        <f>IF(ISBLANK(B215),IF(G215=1,VLOOKUP(H215,'Amount Impute Table'!$A$5:$F$9,MATCH(fraud_data!E215,'Amount Impute Table'!$B$4:$F$4,0)+1,FALSE),VLOOKUP(H215,'Amount Impute Table'!$A$16:$F$20,MATCH(E215,'Amount Impute Table'!$B$15:$F$15,0)+1,0)),B215)</f>
        <v>466.13</v>
      </c>
    </row>
    <row r="216" spans="1:9" x14ac:dyDescent="0.2">
      <c r="A216">
        <v>286</v>
      </c>
      <c r="B216">
        <v>36.909999999999997</v>
      </c>
      <c r="C216">
        <v>26614</v>
      </c>
      <c r="D216" t="s">
        <v>7</v>
      </c>
      <c r="E216" t="s">
        <v>8</v>
      </c>
      <c r="F216">
        <v>28</v>
      </c>
      <c r="G216">
        <v>0</v>
      </c>
      <c r="H216" t="str">
        <f>IF(ISBLANK(D216),IF(G216=1,VLOOKUP(E216,'Location Impute Tables'!$A$5:$J$9,10,0),VLOOKUP(E216,'Location Impute Tables'!$A$25:$J$29,10,0)),D216)</f>
        <v>Chicago</v>
      </c>
      <c r="I216">
        <f>IF(ISBLANK(B216),IF(G216=1,VLOOKUP(H216,'Amount Impute Table'!$A$5:$F$9,MATCH(fraud_data!E216,'Amount Impute Table'!$B$4:$F$4,0)+1,FALSE),VLOOKUP(H216,'Amount Impute Table'!$A$16:$F$20,MATCH(E216,'Amount Impute Table'!$B$15:$F$15,0)+1,0)),B216)</f>
        <v>36.909999999999997</v>
      </c>
    </row>
    <row r="217" spans="1:9" x14ac:dyDescent="0.2">
      <c r="A217">
        <v>285</v>
      </c>
      <c r="B217">
        <v>578.70000000000005</v>
      </c>
      <c r="C217">
        <v>79767</v>
      </c>
      <c r="D217" t="s">
        <v>9</v>
      </c>
      <c r="E217" t="s">
        <v>14</v>
      </c>
      <c r="F217">
        <v>53</v>
      </c>
      <c r="G217">
        <v>0</v>
      </c>
      <c r="H217" t="str">
        <f>IF(ISBLANK(D217),IF(G217=1,VLOOKUP(E217,'Location Impute Tables'!$A$5:$J$9,10,0),VLOOKUP(E217,'Location Impute Tables'!$A$25:$J$29,10,0)),D217)</f>
        <v>Los Angeles</v>
      </c>
      <c r="I217">
        <f>IF(ISBLANK(B217),IF(G217=1,VLOOKUP(H217,'Amount Impute Table'!$A$5:$F$9,MATCH(fraud_data!E217,'Amount Impute Table'!$B$4:$F$4,0)+1,FALSE),VLOOKUP(H217,'Amount Impute Table'!$A$16:$F$20,MATCH(E217,'Amount Impute Table'!$B$15:$F$15,0)+1,0)),B217)</f>
        <v>578.70000000000005</v>
      </c>
    </row>
    <row r="218" spans="1:9" x14ac:dyDescent="0.2">
      <c r="A218">
        <v>284</v>
      </c>
      <c r="B218">
        <v>94.89</v>
      </c>
      <c r="C218">
        <v>19216</v>
      </c>
      <c r="E218" t="s">
        <v>16</v>
      </c>
      <c r="F218">
        <v>63</v>
      </c>
      <c r="G218">
        <v>0</v>
      </c>
      <c r="H218" t="str">
        <f>IF(ISBLANK(D218),IF(G218=1,VLOOKUP(E218,'Location Impute Tables'!$A$5:$J$9,10,0),VLOOKUP(E218,'Location Impute Tables'!$A$25:$J$29,10,0)),D218)</f>
        <v>Los Angeles</v>
      </c>
      <c r="I218">
        <f>IF(ISBLANK(B218),IF(G218=1,VLOOKUP(H218,'Amount Impute Table'!$A$5:$F$9,MATCH(fraud_data!E218,'Amount Impute Table'!$B$4:$F$4,0)+1,FALSE),VLOOKUP(H218,'Amount Impute Table'!$A$16:$F$20,MATCH(E218,'Amount Impute Table'!$B$15:$F$15,0)+1,0)),B218)</f>
        <v>94.89</v>
      </c>
    </row>
    <row r="219" spans="1:9" x14ac:dyDescent="0.2">
      <c r="A219">
        <v>283</v>
      </c>
      <c r="B219">
        <v>376.21</v>
      </c>
      <c r="C219">
        <v>63076</v>
      </c>
      <c r="D219" t="s">
        <v>15</v>
      </c>
      <c r="E219" t="s">
        <v>11</v>
      </c>
      <c r="F219">
        <v>48</v>
      </c>
      <c r="G219">
        <v>0</v>
      </c>
      <c r="H219" t="str">
        <f>IF(ISBLANK(D219),IF(G219=1,VLOOKUP(E219,'Location Impute Tables'!$A$5:$J$9,10,0),VLOOKUP(E219,'Location Impute Tables'!$A$25:$J$29,10,0)),D219)</f>
        <v>New York</v>
      </c>
      <c r="I219">
        <f>IF(ISBLANK(B219),IF(G219=1,VLOOKUP(H219,'Amount Impute Table'!$A$5:$F$9,MATCH(fraud_data!E219,'Amount Impute Table'!$B$4:$F$4,0)+1,FALSE),VLOOKUP(H219,'Amount Impute Table'!$A$16:$F$20,MATCH(E219,'Amount Impute Table'!$B$15:$F$15,0)+1,0)),B219)</f>
        <v>376.21</v>
      </c>
    </row>
    <row r="220" spans="1:9" x14ac:dyDescent="0.2">
      <c r="A220">
        <v>282</v>
      </c>
      <c r="B220">
        <v>338.66</v>
      </c>
      <c r="C220">
        <v>1342</v>
      </c>
      <c r="D220" t="s">
        <v>9</v>
      </c>
      <c r="E220" t="s">
        <v>14</v>
      </c>
      <c r="F220">
        <v>75</v>
      </c>
      <c r="G220">
        <v>0</v>
      </c>
      <c r="H220" t="str">
        <f>IF(ISBLANK(D220),IF(G220=1,VLOOKUP(E220,'Location Impute Tables'!$A$5:$J$9,10,0),VLOOKUP(E220,'Location Impute Tables'!$A$25:$J$29,10,0)),D220)</f>
        <v>Los Angeles</v>
      </c>
      <c r="I220">
        <f>IF(ISBLANK(B220),IF(G220=1,VLOOKUP(H220,'Amount Impute Table'!$A$5:$F$9,MATCH(fraud_data!E220,'Amount Impute Table'!$B$4:$F$4,0)+1,FALSE),VLOOKUP(H220,'Amount Impute Table'!$A$16:$F$20,MATCH(E220,'Amount Impute Table'!$B$15:$F$15,0)+1,0)),B220)</f>
        <v>338.66</v>
      </c>
    </row>
    <row r="221" spans="1:9" x14ac:dyDescent="0.2">
      <c r="A221">
        <v>281</v>
      </c>
      <c r="B221">
        <v>890.12</v>
      </c>
      <c r="C221">
        <v>8512</v>
      </c>
      <c r="D221" t="s">
        <v>15</v>
      </c>
      <c r="E221" t="s">
        <v>12</v>
      </c>
      <c r="F221">
        <v>57</v>
      </c>
      <c r="G221">
        <v>0</v>
      </c>
      <c r="H221" t="str">
        <f>IF(ISBLANK(D221),IF(G221=1,VLOOKUP(E221,'Location Impute Tables'!$A$5:$J$9,10,0),VLOOKUP(E221,'Location Impute Tables'!$A$25:$J$29,10,0)),D221)</f>
        <v>New York</v>
      </c>
      <c r="I221">
        <f>IF(ISBLANK(B221),IF(G221=1,VLOOKUP(H221,'Amount Impute Table'!$A$5:$F$9,MATCH(fraud_data!E221,'Amount Impute Table'!$B$4:$F$4,0)+1,FALSE),VLOOKUP(H221,'Amount Impute Table'!$A$16:$F$20,MATCH(E221,'Amount Impute Table'!$B$15:$F$15,0)+1,0)),B221)</f>
        <v>890.12</v>
      </c>
    </row>
    <row r="222" spans="1:9" x14ac:dyDescent="0.2">
      <c r="A222">
        <v>280</v>
      </c>
      <c r="B222">
        <v>796</v>
      </c>
      <c r="C222">
        <v>34387</v>
      </c>
      <c r="D222" t="s">
        <v>9</v>
      </c>
      <c r="E222" t="s">
        <v>16</v>
      </c>
      <c r="F222">
        <v>38</v>
      </c>
      <c r="G222">
        <v>0</v>
      </c>
      <c r="H222" t="str">
        <f>IF(ISBLANK(D222),IF(G222=1,VLOOKUP(E222,'Location Impute Tables'!$A$5:$J$9,10,0),VLOOKUP(E222,'Location Impute Tables'!$A$25:$J$29,10,0)),D222)</f>
        <v>Los Angeles</v>
      </c>
      <c r="I222">
        <f>IF(ISBLANK(B222),IF(G222=1,VLOOKUP(H222,'Amount Impute Table'!$A$5:$F$9,MATCH(fraud_data!E222,'Amount Impute Table'!$B$4:$F$4,0)+1,FALSE),VLOOKUP(H222,'Amount Impute Table'!$A$16:$F$20,MATCH(E222,'Amount Impute Table'!$B$15:$F$15,0)+1,0)),B222)</f>
        <v>796</v>
      </c>
    </row>
    <row r="223" spans="1:9" x14ac:dyDescent="0.2">
      <c r="A223">
        <v>279</v>
      </c>
      <c r="B223">
        <v>702.26</v>
      </c>
      <c r="C223">
        <v>5287</v>
      </c>
      <c r="D223" t="s">
        <v>7</v>
      </c>
      <c r="E223" t="s">
        <v>8</v>
      </c>
      <c r="G223">
        <v>0</v>
      </c>
      <c r="H223" t="str">
        <f>IF(ISBLANK(D223),IF(G223=1,VLOOKUP(E223,'Location Impute Tables'!$A$5:$J$9,10,0),VLOOKUP(E223,'Location Impute Tables'!$A$25:$J$29,10,0)),D223)</f>
        <v>Chicago</v>
      </c>
      <c r="I223">
        <f>IF(ISBLANK(B223),IF(G223=1,VLOOKUP(H223,'Amount Impute Table'!$A$5:$F$9,MATCH(fraud_data!E223,'Amount Impute Table'!$B$4:$F$4,0)+1,FALSE),VLOOKUP(H223,'Amount Impute Table'!$A$16:$F$20,MATCH(E223,'Amount Impute Table'!$B$15:$F$15,0)+1,0)),B223)</f>
        <v>702.26</v>
      </c>
    </row>
    <row r="224" spans="1:9" x14ac:dyDescent="0.2">
      <c r="A224">
        <v>278</v>
      </c>
      <c r="B224">
        <v>650.30999999999995</v>
      </c>
      <c r="C224">
        <v>39809</v>
      </c>
      <c r="D224" t="s">
        <v>9</v>
      </c>
      <c r="E224" t="s">
        <v>14</v>
      </c>
      <c r="F224">
        <v>22</v>
      </c>
      <c r="G224">
        <v>0</v>
      </c>
      <c r="H224" t="str">
        <f>IF(ISBLANK(D224),IF(G224=1,VLOOKUP(E224,'Location Impute Tables'!$A$5:$J$9,10,0),VLOOKUP(E224,'Location Impute Tables'!$A$25:$J$29,10,0)),D224)</f>
        <v>Los Angeles</v>
      </c>
      <c r="I224">
        <f>IF(ISBLANK(B224),IF(G224=1,VLOOKUP(H224,'Amount Impute Table'!$A$5:$F$9,MATCH(fraud_data!E224,'Amount Impute Table'!$B$4:$F$4,0)+1,FALSE),VLOOKUP(H224,'Amount Impute Table'!$A$16:$F$20,MATCH(E224,'Amount Impute Table'!$B$15:$F$15,0)+1,0)),B224)</f>
        <v>650.30999999999995</v>
      </c>
    </row>
    <row r="225" spans="1:9" x14ac:dyDescent="0.2">
      <c r="A225">
        <v>277</v>
      </c>
      <c r="B225">
        <v>798.5</v>
      </c>
      <c r="C225">
        <v>2219</v>
      </c>
      <c r="D225" t="s">
        <v>10</v>
      </c>
      <c r="E225" t="s">
        <v>8</v>
      </c>
      <c r="F225">
        <v>34</v>
      </c>
      <c r="G225">
        <v>0</v>
      </c>
      <c r="H225" t="str">
        <f>IF(ISBLANK(D225),IF(G225=1,VLOOKUP(E225,'Location Impute Tables'!$A$5:$J$9,10,0),VLOOKUP(E225,'Location Impute Tables'!$A$25:$J$29,10,0)),D225)</f>
        <v>Miami</v>
      </c>
      <c r="I225">
        <f>IF(ISBLANK(B225),IF(G225=1,VLOOKUP(H225,'Amount Impute Table'!$A$5:$F$9,MATCH(fraud_data!E225,'Amount Impute Table'!$B$4:$F$4,0)+1,FALSE),VLOOKUP(H225,'Amount Impute Table'!$A$16:$F$20,MATCH(E225,'Amount Impute Table'!$B$15:$F$15,0)+1,0)),B225)</f>
        <v>798.5</v>
      </c>
    </row>
    <row r="226" spans="1:9" x14ac:dyDescent="0.2">
      <c r="A226">
        <v>276</v>
      </c>
      <c r="B226">
        <v>502.01</v>
      </c>
      <c r="C226">
        <v>9865</v>
      </c>
      <c r="D226" t="s">
        <v>7</v>
      </c>
      <c r="E226" t="s">
        <v>8</v>
      </c>
      <c r="F226">
        <v>41</v>
      </c>
      <c r="G226">
        <v>0</v>
      </c>
      <c r="H226" t="str">
        <f>IF(ISBLANK(D226),IF(G226=1,VLOOKUP(E226,'Location Impute Tables'!$A$5:$J$9,10,0),VLOOKUP(E226,'Location Impute Tables'!$A$25:$J$29,10,0)),D226)</f>
        <v>Chicago</v>
      </c>
      <c r="I226">
        <f>IF(ISBLANK(B226),IF(G226=1,VLOOKUP(H226,'Amount Impute Table'!$A$5:$F$9,MATCH(fraud_data!E226,'Amount Impute Table'!$B$4:$F$4,0)+1,FALSE),VLOOKUP(H226,'Amount Impute Table'!$A$16:$F$20,MATCH(E226,'Amount Impute Table'!$B$15:$F$15,0)+1,0)),B226)</f>
        <v>502.01</v>
      </c>
    </row>
    <row r="227" spans="1:9" x14ac:dyDescent="0.2">
      <c r="A227">
        <v>275</v>
      </c>
      <c r="B227">
        <v>511.83</v>
      </c>
      <c r="C227">
        <v>82180</v>
      </c>
      <c r="D227" t="s">
        <v>10</v>
      </c>
      <c r="E227" t="s">
        <v>11</v>
      </c>
      <c r="F227">
        <v>52</v>
      </c>
      <c r="G227">
        <v>0</v>
      </c>
      <c r="H227" t="str">
        <f>IF(ISBLANK(D227),IF(G227=1,VLOOKUP(E227,'Location Impute Tables'!$A$5:$J$9,10,0),VLOOKUP(E227,'Location Impute Tables'!$A$25:$J$29,10,0)),D227)</f>
        <v>Miami</v>
      </c>
      <c r="I227">
        <f>IF(ISBLANK(B227),IF(G227=1,VLOOKUP(H227,'Amount Impute Table'!$A$5:$F$9,MATCH(fraud_data!E227,'Amount Impute Table'!$B$4:$F$4,0)+1,FALSE),VLOOKUP(H227,'Amount Impute Table'!$A$16:$F$20,MATCH(E227,'Amount Impute Table'!$B$15:$F$15,0)+1,0)),B227)</f>
        <v>511.83</v>
      </c>
    </row>
    <row r="228" spans="1:9" x14ac:dyDescent="0.2">
      <c r="A228">
        <v>274</v>
      </c>
      <c r="B228">
        <v>913.33</v>
      </c>
      <c r="C228">
        <v>65545</v>
      </c>
      <c r="D228" t="s">
        <v>10</v>
      </c>
      <c r="E228" t="s">
        <v>14</v>
      </c>
      <c r="G228">
        <v>0</v>
      </c>
      <c r="H228" t="str">
        <f>IF(ISBLANK(D228),IF(G228=1,VLOOKUP(E228,'Location Impute Tables'!$A$5:$J$9,10,0),VLOOKUP(E228,'Location Impute Tables'!$A$25:$J$29,10,0)),D228)</f>
        <v>Miami</v>
      </c>
      <c r="I228">
        <f>IF(ISBLANK(B228),IF(G228=1,VLOOKUP(H228,'Amount Impute Table'!$A$5:$F$9,MATCH(fraud_data!E228,'Amount Impute Table'!$B$4:$F$4,0)+1,FALSE),VLOOKUP(H228,'Amount Impute Table'!$A$16:$F$20,MATCH(E228,'Amount Impute Table'!$B$15:$F$15,0)+1,0)),B228)</f>
        <v>913.33</v>
      </c>
    </row>
    <row r="229" spans="1:9" x14ac:dyDescent="0.2">
      <c r="A229">
        <v>273</v>
      </c>
      <c r="B229">
        <v>867.21</v>
      </c>
      <c r="C229">
        <v>59383</v>
      </c>
      <c r="D229" t="s">
        <v>13</v>
      </c>
      <c r="E229" t="s">
        <v>11</v>
      </c>
      <c r="F229">
        <v>68</v>
      </c>
      <c r="G229">
        <v>0</v>
      </c>
      <c r="H229" t="str">
        <f>IF(ISBLANK(D229),IF(G229=1,VLOOKUP(E229,'Location Impute Tables'!$A$5:$J$9,10,0),VLOOKUP(E229,'Location Impute Tables'!$A$25:$J$29,10,0)),D229)</f>
        <v>Houston</v>
      </c>
      <c r="I229">
        <f>IF(ISBLANK(B229),IF(G229=1,VLOOKUP(H229,'Amount Impute Table'!$A$5:$F$9,MATCH(fraud_data!E229,'Amount Impute Table'!$B$4:$F$4,0)+1,FALSE),VLOOKUP(H229,'Amount Impute Table'!$A$16:$F$20,MATCH(E229,'Amount Impute Table'!$B$15:$F$15,0)+1,0)),B229)</f>
        <v>867.21</v>
      </c>
    </row>
    <row r="230" spans="1:9" x14ac:dyDescent="0.2">
      <c r="A230">
        <v>272</v>
      </c>
      <c r="C230">
        <v>20128</v>
      </c>
      <c r="D230" t="s">
        <v>7</v>
      </c>
      <c r="E230" t="s">
        <v>8</v>
      </c>
      <c r="F230">
        <v>62</v>
      </c>
      <c r="G230">
        <v>0</v>
      </c>
      <c r="H230" t="str">
        <f>IF(ISBLANK(D230),IF(G230=1,VLOOKUP(E230,'Location Impute Tables'!$A$5:$J$9,10,0),VLOOKUP(E230,'Location Impute Tables'!$A$25:$J$29,10,0)),D230)</f>
        <v>Chicago</v>
      </c>
      <c r="I230">
        <f>IF(ISBLANK(B230),IF(G230=1,VLOOKUP(H230,'Amount Impute Table'!$A$5:$F$9,MATCH(fraud_data!E230,'Amount Impute Table'!$B$4:$F$4,0)+1,FALSE),VLOOKUP(H230,'Amount Impute Table'!$A$16:$F$20,MATCH(E230,'Amount Impute Table'!$B$15:$F$15,0)+1,0)),B230)</f>
        <v>486.12</v>
      </c>
    </row>
    <row r="231" spans="1:9" x14ac:dyDescent="0.2">
      <c r="A231">
        <v>271</v>
      </c>
      <c r="B231">
        <v>809.55</v>
      </c>
      <c r="C231">
        <v>47362</v>
      </c>
      <c r="D231" t="s">
        <v>13</v>
      </c>
      <c r="E231" t="s">
        <v>14</v>
      </c>
      <c r="F231">
        <v>18</v>
      </c>
      <c r="G231">
        <v>0</v>
      </c>
      <c r="H231" t="str">
        <f>IF(ISBLANK(D231),IF(G231=1,VLOOKUP(E231,'Location Impute Tables'!$A$5:$J$9,10,0),VLOOKUP(E231,'Location Impute Tables'!$A$25:$J$29,10,0)),D231)</f>
        <v>Houston</v>
      </c>
      <c r="I231">
        <f>IF(ISBLANK(B231),IF(G231=1,VLOOKUP(H231,'Amount Impute Table'!$A$5:$F$9,MATCH(fraud_data!E231,'Amount Impute Table'!$B$4:$F$4,0)+1,FALSE),VLOOKUP(H231,'Amount Impute Table'!$A$16:$F$20,MATCH(E231,'Amount Impute Table'!$B$15:$F$15,0)+1,0)),B231)</f>
        <v>809.55</v>
      </c>
    </row>
    <row r="232" spans="1:9" x14ac:dyDescent="0.2">
      <c r="A232">
        <v>270</v>
      </c>
      <c r="B232">
        <v>294.3</v>
      </c>
      <c r="C232">
        <v>32254</v>
      </c>
      <c r="D232" t="s">
        <v>13</v>
      </c>
      <c r="E232" t="s">
        <v>12</v>
      </c>
      <c r="F232">
        <v>60</v>
      </c>
      <c r="G232">
        <v>0</v>
      </c>
      <c r="H232" t="str">
        <f>IF(ISBLANK(D232),IF(G232=1,VLOOKUP(E232,'Location Impute Tables'!$A$5:$J$9,10,0),VLOOKUP(E232,'Location Impute Tables'!$A$25:$J$29,10,0)),D232)</f>
        <v>Houston</v>
      </c>
      <c r="I232">
        <f>IF(ISBLANK(B232),IF(G232=1,VLOOKUP(H232,'Amount Impute Table'!$A$5:$F$9,MATCH(fraud_data!E232,'Amount Impute Table'!$B$4:$F$4,0)+1,FALSE),VLOOKUP(H232,'Amount Impute Table'!$A$16:$F$20,MATCH(E232,'Amount Impute Table'!$B$15:$F$15,0)+1,0)),B232)</f>
        <v>294.3</v>
      </c>
    </row>
    <row r="233" spans="1:9" x14ac:dyDescent="0.2">
      <c r="A233">
        <v>269</v>
      </c>
      <c r="B233">
        <v>360.13</v>
      </c>
      <c r="C233">
        <v>20618</v>
      </c>
      <c r="D233" t="s">
        <v>15</v>
      </c>
      <c r="E233" t="s">
        <v>12</v>
      </c>
      <c r="F233">
        <v>40</v>
      </c>
      <c r="G233">
        <v>0</v>
      </c>
      <c r="H233" t="str">
        <f>IF(ISBLANK(D233),IF(G233=1,VLOOKUP(E233,'Location Impute Tables'!$A$5:$J$9,10,0),VLOOKUP(E233,'Location Impute Tables'!$A$25:$J$29,10,0)),D233)</f>
        <v>New York</v>
      </c>
      <c r="I233">
        <f>IF(ISBLANK(B233),IF(G233=1,VLOOKUP(H233,'Amount Impute Table'!$A$5:$F$9,MATCH(fraud_data!E233,'Amount Impute Table'!$B$4:$F$4,0)+1,FALSE),VLOOKUP(H233,'Amount Impute Table'!$A$16:$F$20,MATCH(E233,'Amount Impute Table'!$B$15:$F$15,0)+1,0)),B233)</f>
        <v>360.13</v>
      </c>
    </row>
    <row r="234" spans="1:9" x14ac:dyDescent="0.2">
      <c r="A234">
        <v>268</v>
      </c>
      <c r="B234">
        <v>702.78</v>
      </c>
      <c r="C234">
        <v>1917</v>
      </c>
      <c r="D234" t="s">
        <v>9</v>
      </c>
      <c r="E234" t="s">
        <v>11</v>
      </c>
      <c r="G234">
        <v>0</v>
      </c>
      <c r="H234" t="str">
        <f>IF(ISBLANK(D234),IF(G234=1,VLOOKUP(E234,'Location Impute Tables'!$A$5:$J$9,10,0),VLOOKUP(E234,'Location Impute Tables'!$A$25:$J$29,10,0)),D234)</f>
        <v>Los Angeles</v>
      </c>
      <c r="I234">
        <f>IF(ISBLANK(B234),IF(G234=1,VLOOKUP(H234,'Amount Impute Table'!$A$5:$F$9,MATCH(fraud_data!E234,'Amount Impute Table'!$B$4:$F$4,0)+1,FALSE),VLOOKUP(H234,'Amount Impute Table'!$A$16:$F$20,MATCH(E234,'Amount Impute Table'!$B$15:$F$15,0)+1,0)),B234)</f>
        <v>702.78</v>
      </c>
    </row>
    <row r="235" spans="1:9" x14ac:dyDescent="0.2">
      <c r="A235">
        <v>267</v>
      </c>
      <c r="B235">
        <v>697.32</v>
      </c>
      <c r="C235">
        <v>1828</v>
      </c>
      <c r="D235" t="s">
        <v>10</v>
      </c>
      <c r="E235" t="s">
        <v>16</v>
      </c>
      <c r="F235">
        <v>25</v>
      </c>
      <c r="G235">
        <v>0</v>
      </c>
      <c r="H235" t="str">
        <f>IF(ISBLANK(D235),IF(G235=1,VLOOKUP(E235,'Location Impute Tables'!$A$5:$J$9,10,0),VLOOKUP(E235,'Location Impute Tables'!$A$25:$J$29,10,0)),D235)</f>
        <v>Miami</v>
      </c>
      <c r="I235">
        <f>IF(ISBLANK(B235),IF(G235=1,VLOOKUP(H235,'Amount Impute Table'!$A$5:$F$9,MATCH(fraud_data!E235,'Amount Impute Table'!$B$4:$F$4,0)+1,FALSE),VLOOKUP(H235,'Amount Impute Table'!$A$16:$F$20,MATCH(E235,'Amount Impute Table'!$B$15:$F$15,0)+1,0)),B235)</f>
        <v>697.32</v>
      </c>
    </row>
    <row r="236" spans="1:9" x14ac:dyDescent="0.2">
      <c r="A236">
        <v>266</v>
      </c>
      <c r="B236">
        <v>741.03</v>
      </c>
      <c r="C236">
        <v>42533</v>
      </c>
      <c r="D236" t="s">
        <v>7</v>
      </c>
      <c r="E236" t="s">
        <v>14</v>
      </c>
      <c r="F236">
        <v>30</v>
      </c>
      <c r="G236">
        <v>0</v>
      </c>
      <c r="H236" t="str">
        <f>IF(ISBLANK(D236),IF(G236=1,VLOOKUP(E236,'Location Impute Tables'!$A$5:$J$9,10,0),VLOOKUP(E236,'Location Impute Tables'!$A$25:$J$29,10,0)),D236)</f>
        <v>Chicago</v>
      </c>
      <c r="I236">
        <f>IF(ISBLANK(B236),IF(G236=1,VLOOKUP(H236,'Amount Impute Table'!$A$5:$F$9,MATCH(fraud_data!E236,'Amount Impute Table'!$B$4:$F$4,0)+1,FALSE),VLOOKUP(H236,'Amount Impute Table'!$A$16:$F$20,MATCH(E236,'Amount Impute Table'!$B$15:$F$15,0)+1,0)),B236)</f>
        <v>741.03</v>
      </c>
    </row>
    <row r="237" spans="1:9" x14ac:dyDescent="0.2">
      <c r="A237">
        <v>265</v>
      </c>
      <c r="B237">
        <v>877.5</v>
      </c>
      <c r="C237">
        <v>78477</v>
      </c>
      <c r="D237" t="s">
        <v>13</v>
      </c>
      <c r="E237" t="s">
        <v>12</v>
      </c>
      <c r="F237">
        <v>25</v>
      </c>
      <c r="G237">
        <v>0</v>
      </c>
      <c r="H237" t="str">
        <f>IF(ISBLANK(D237),IF(G237=1,VLOOKUP(E237,'Location Impute Tables'!$A$5:$J$9,10,0),VLOOKUP(E237,'Location Impute Tables'!$A$25:$J$29,10,0)),D237)</f>
        <v>Houston</v>
      </c>
      <c r="I237">
        <f>IF(ISBLANK(B237),IF(G237=1,VLOOKUP(H237,'Amount Impute Table'!$A$5:$F$9,MATCH(fraud_data!E237,'Amount Impute Table'!$B$4:$F$4,0)+1,FALSE),VLOOKUP(H237,'Amount Impute Table'!$A$16:$F$20,MATCH(E237,'Amount Impute Table'!$B$15:$F$15,0)+1,0)),B237)</f>
        <v>877.5</v>
      </c>
    </row>
    <row r="238" spans="1:9" x14ac:dyDescent="0.2">
      <c r="A238">
        <v>264</v>
      </c>
      <c r="B238">
        <v>518.80999999999995</v>
      </c>
      <c r="C238">
        <v>67584</v>
      </c>
      <c r="D238" t="s">
        <v>7</v>
      </c>
      <c r="E238" t="s">
        <v>16</v>
      </c>
      <c r="F238">
        <v>54</v>
      </c>
      <c r="G238">
        <v>0</v>
      </c>
      <c r="H238" t="str">
        <f>IF(ISBLANK(D238),IF(G238=1,VLOOKUP(E238,'Location Impute Tables'!$A$5:$J$9,10,0),VLOOKUP(E238,'Location Impute Tables'!$A$25:$J$29,10,0)),D238)</f>
        <v>Chicago</v>
      </c>
      <c r="I238">
        <f>IF(ISBLANK(B238),IF(G238=1,VLOOKUP(H238,'Amount Impute Table'!$A$5:$F$9,MATCH(fraud_data!E238,'Amount Impute Table'!$B$4:$F$4,0)+1,FALSE),VLOOKUP(H238,'Amount Impute Table'!$A$16:$F$20,MATCH(E238,'Amount Impute Table'!$B$15:$F$15,0)+1,0)),B238)</f>
        <v>518.80999999999995</v>
      </c>
    </row>
    <row r="239" spans="1:9" x14ac:dyDescent="0.2">
      <c r="A239">
        <v>263</v>
      </c>
      <c r="B239">
        <v>140.94</v>
      </c>
      <c r="C239">
        <v>36976</v>
      </c>
      <c r="D239" t="s">
        <v>10</v>
      </c>
      <c r="E239" t="s">
        <v>11</v>
      </c>
      <c r="F239">
        <v>40</v>
      </c>
      <c r="G239">
        <v>0</v>
      </c>
      <c r="H239" t="str">
        <f>IF(ISBLANK(D239),IF(G239=1,VLOOKUP(E239,'Location Impute Tables'!$A$5:$J$9,10,0),VLOOKUP(E239,'Location Impute Tables'!$A$25:$J$29,10,0)),D239)</f>
        <v>Miami</v>
      </c>
      <c r="I239">
        <f>IF(ISBLANK(B239),IF(G239=1,VLOOKUP(H239,'Amount Impute Table'!$A$5:$F$9,MATCH(fraud_data!E239,'Amount Impute Table'!$B$4:$F$4,0)+1,FALSE),VLOOKUP(H239,'Amount Impute Table'!$A$16:$F$20,MATCH(E239,'Amount Impute Table'!$B$15:$F$15,0)+1,0)),B239)</f>
        <v>140.94</v>
      </c>
    </row>
    <row r="240" spans="1:9" x14ac:dyDescent="0.2">
      <c r="A240">
        <v>262</v>
      </c>
      <c r="B240">
        <v>990.06</v>
      </c>
      <c r="C240">
        <v>45587</v>
      </c>
      <c r="D240" t="s">
        <v>10</v>
      </c>
      <c r="E240" t="s">
        <v>8</v>
      </c>
      <c r="F240">
        <v>18</v>
      </c>
      <c r="G240">
        <v>0</v>
      </c>
      <c r="H240" t="str">
        <f>IF(ISBLANK(D240),IF(G240=1,VLOOKUP(E240,'Location Impute Tables'!$A$5:$J$9,10,0),VLOOKUP(E240,'Location Impute Tables'!$A$25:$J$29,10,0)),D240)</f>
        <v>Miami</v>
      </c>
      <c r="I240">
        <f>IF(ISBLANK(B240),IF(G240=1,VLOOKUP(H240,'Amount Impute Table'!$A$5:$F$9,MATCH(fraud_data!E240,'Amount Impute Table'!$B$4:$F$4,0)+1,FALSE),VLOOKUP(H240,'Amount Impute Table'!$A$16:$F$20,MATCH(E240,'Amount Impute Table'!$B$15:$F$15,0)+1,0)),B240)</f>
        <v>990.06</v>
      </c>
    </row>
    <row r="241" spans="1:9" x14ac:dyDescent="0.2">
      <c r="A241">
        <v>261</v>
      </c>
      <c r="B241">
        <v>5162.2172302359304</v>
      </c>
      <c r="C241">
        <v>49376</v>
      </c>
      <c r="D241" t="s">
        <v>10</v>
      </c>
      <c r="E241" t="s">
        <v>14</v>
      </c>
      <c r="F241">
        <v>61</v>
      </c>
      <c r="G241">
        <v>0</v>
      </c>
      <c r="H241" t="str">
        <f>IF(ISBLANK(D241),IF(G241=1,VLOOKUP(E241,'Location Impute Tables'!$A$5:$J$9,10,0),VLOOKUP(E241,'Location Impute Tables'!$A$25:$J$29,10,0)),D241)</f>
        <v>Miami</v>
      </c>
      <c r="I241">
        <f>IF(ISBLANK(B241),IF(G241=1,VLOOKUP(H241,'Amount Impute Table'!$A$5:$F$9,MATCH(fraud_data!E241,'Amount Impute Table'!$B$4:$F$4,0)+1,FALSE),VLOOKUP(H241,'Amount Impute Table'!$A$16:$F$20,MATCH(E241,'Amount Impute Table'!$B$15:$F$15,0)+1,0)),B241)</f>
        <v>5162.2172302359304</v>
      </c>
    </row>
    <row r="242" spans="1:9" x14ac:dyDescent="0.2">
      <c r="A242">
        <v>260</v>
      </c>
      <c r="B242">
        <v>98.08</v>
      </c>
      <c r="C242">
        <v>58067</v>
      </c>
      <c r="D242" t="s">
        <v>9</v>
      </c>
      <c r="E242" t="s">
        <v>14</v>
      </c>
      <c r="F242">
        <v>49</v>
      </c>
      <c r="G242">
        <v>1</v>
      </c>
      <c r="H242" t="str">
        <f>IF(ISBLANK(D242),IF(G242=1,VLOOKUP(E242,'Location Impute Tables'!$A$5:$J$9,10,0),VLOOKUP(E242,'Location Impute Tables'!$A$25:$J$29,10,0)),D242)</f>
        <v>Los Angeles</v>
      </c>
      <c r="I242">
        <f>IF(ISBLANK(B242),IF(G242=1,VLOOKUP(H242,'Amount Impute Table'!$A$5:$F$9,MATCH(fraud_data!E242,'Amount Impute Table'!$B$4:$F$4,0)+1,FALSE),VLOOKUP(H242,'Amount Impute Table'!$A$16:$F$20,MATCH(E242,'Amount Impute Table'!$B$15:$F$15,0)+1,0)),B242)</f>
        <v>98.08</v>
      </c>
    </row>
    <row r="243" spans="1:9" x14ac:dyDescent="0.2">
      <c r="A243">
        <v>259</v>
      </c>
      <c r="B243">
        <v>570.49</v>
      </c>
      <c r="C243">
        <v>64323</v>
      </c>
      <c r="D243" t="s">
        <v>7</v>
      </c>
      <c r="E243" t="s">
        <v>8</v>
      </c>
      <c r="F243">
        <v>22</v>
      </c>
      <c r="G243">
        <v>0</v>
      </c>
      <c r="H243" t="str">
        <f>IF(ISBLANK(D243),IF(G243=1,VLOOKUP(E243,'Location Impute Tables'!$A$5:$J$9,10,0),VLOOKUP(E243,'Location Impute Tables'!$A$25:$J$29,10,0)),D243)</f>
        <v>Chicago</v>
      </c>
      <c r="I243">
        <f>IF(ISBLANK(B243),IF(G243=1,VLOOKUP(H243,'Amount Impute Table'!$A$5:$F$9,MATCH(fraud_data!E243,'Amount Impute Table'!$B$4:$F$4,0)+1,FALSE),VLOOKUP(H243,'Amount Impute Table'!$A$16:$F$20,MATCH(E243,'Amount Impute Table'!$B$15:$F$15,0)+1,0)),B243)</f>
        <v>570.49</v>
      </c>
    </row>
    <row r="244" spans="1:9" x14ac:dyDescent="0.2">
      <c r="A244">
        <v>258</v>
      </c>
      <c r="B244">
        <v>696.33</v>
      </c>
      <c r="C244">
        <v>42101</v>
      </c>
      <c r="D244" t="s">
        <v>13</v>
      </c>
      <c r="E244" t="s">
        <v>14</v>
      </c>
      <c r="F244">
        <v>36</v>
      </c>
      <c r="G244">
        <v>0</v>
      </c>
      <c r="H244" t="str">
        <f>IF(ISBLANK(D244),IF(G244=1,VLOOKUP(E244,'Location Impute Tables'!$A$5:$J$9,10,0),VLOOKUP(E244,'Location Impute Tables'!$A$25:$J$29,10,0)),D244)</f>
        <v>Houston</v>
      </c>
      <c r="I244">
        <f>IF(ISBLANK(B244),IF(G244=1,VLOOKUP(H244,'Amount Impute Table'!$A$5:$F$9,MATCH(fraud_data!E244,'Amount Impute Table'!$B$4:$F$4,0)+1,FALSE),VLOOKUP(H244,'Amount Impute Table'!$A$16:$F$20,MATCH(E244,'Amount Impute Table'!$B$15:$F$15,0)+1,0)),B244)</f>
        <v>696.33</v>
      </c>
    </row>
    <row r="245" spans="1:9" x14ac:dyDescent="0.2">
      <c r="A245">
        <v>257</v>
      </c>
      <c r="B245">
        <v>936.22</v>
      </c>
      <c r="C245">
        <v>30105</v>
      </c>
      <c r="D245" t="s">
        <v>13</v>
      </c>
      <c r="E245" t="s">
        <v>8</v>
      </c>
      <c r="F245">
        <v>62</v>
      </c>
      <c r="G245">
        <v>0</v>
      </c>
      <c r="H245" t="str">
        <f>IF(ISBLANK(D245),IF(G245=1,VLOOKUP(E245,'Location Impute Tables'!$A$5:$J$9,10,0),VLOOKUP(E245,'Location Impute Tables'!$A$25:$J$29,10,0)),D245)</f>
        <v>Houston</v>
      </c>
      <c r="I245">
        <f>IF(ISBLANK(B245),IF(G245=1,VLOOKUP(H245,'Amount Impute Table'!$A$5:$F$9,MATCH(fraud_data!E245,'Amount Impute Table'!$B$4:$F$4,0)+1,FALSE),VLOOKUP(H245,'Amount Impute Table'!$A$16:$F$20,MATCH(E245,'Amount Impute Table'!$B$15:$F$15,0)+1,0)),B245)</f>
        <v>936.22</v>
      </c>
    </row>
    <row r="246" spans="1:9" x14ac:dyDescent="0.2">
      <c r="A246">
        <v>256</v>
      </c>
      <c r="B246">
        <v>557.24</v>
      </c>
      <c r="C246">
        <v>6469</v>
      </c>
      <c r="D246" t="s">
        <v>15</v>
      </c>
      <c r="E246" t="s">
        <v>8</v>
      </c>
      <c r="F246">
        <v>41</v>
      </c>
      <c r="G246">
        <v>0</v>
      </c>
      <c r="H246" t="str">
        <f>IF(ISBLANK(D246),IF(G246=1,VLOOKUP(E246,'Location Impute Tables'!$A$5:$J$9,10,0),VLOOKUP(E246,'Location Impute Tables'!$A$25:$J$29,10,0)),D246)</f>
        <v>New York</v>
      </c>
      <c r="I246">
        <f>IF(ISBLANK(B246),IF(G246=1,VLOOKUP(H246,'Amount Impute Table'!$A$5:$F$9,MATCH(fraud_data!E246,'Amount Impute Table'!$B$4:$F$4,0)+1,FALSE),VLOOKUP(H246,'Amount Impute Table'!$A$16:$F$20,MATCH(E246,'Amount Impute Table'!$B$15:$F$15,0)+1,0)),B246)</f>
        <v>557.24</v>
      </c>
    </row>
    <row r="247" spans="1:9" x14ac:dyDescent="0.2">
      <c r="A247">
        <v>255</v>
      </c>
      <c r="B247">
        <v>170.32</v>
      </c>
      <c r="C247">
        <v>46514</v>
      </c>
      <c r="D247" t="s">
        <v>15</v>
      </c>
      <c r="E247" t="s">
        <v>8</v>
      </c>
      <c r="F247">
        <v>40</v>
      </c>
      <c r="G247">
        <v>0</v>
      </c>
      <c r="H247" t="str">
        <f>IF(ISBLANK(D247),IF(G247=1,VLOOKUP(E247,'Location Impute Tables'!$A$5:$J$9,10,0),VLOOKUP(E247,'Location Impute Tables'!$A$25:$J$29,10,0)),D247)</f>
        <v>New York</v>
      </c>
      <c r="I247">
        <f>IF(ISBLANK(B247),IF(G247=1,VLOOKUP(H247,'Amount Impute Table'!$A$5:$F$9,MATCH(fraud_data!E247,'Amount Impute Table'!$B$4:$F$4,0)+1,FALSE),VLOOKUP(H247,'Amount Impute Table'!$A$16:$F$20,MATCH(E247,'Amount Impute Table'!$B$15:$F$15,0)+1,0)),B247)</f>
        <v>170.32</v>
      </c>
    </row>
    <row r="248" spans="1:9" x14ac:dyDescent="0.2">
      <c r="A248">
        <v>254</v>
      </c>
      <c r="B248">
        <v>5862.61938473181</v>
      </c>
      <c r="C248">
        <v>79239</v>
      </c>
      <c r="D248" t="s">
        <v>15</v>
      </c>
      <c r="E248" t="s">
        <v>8</v>
      </c>
      <c r="F248">
        <v>77</v>
      </c>
      <c r="G248">
        <v>0</v>
      </c>
      <c r="H248" t="str">
        <f>IF(ISBLANK(D248),IF(G248=1,VLOOKUP(E248,'Location Impute Tables'!$A$5:$J$9,10,0),VLOOKUP(E248,'Location Impute Tables'!$A$25:$J$29,10,0)),D248)</f>
        <v>New York</v>
      </c>
      <c r="I248">
        <f>IF(ISBLANK(B248),IF(G248=1,VLOOKUP(H248,'Amount Impute Table'!$A$5:$F$9,MATCH(fraud_data!E248,'Amount Impute Table'!$B$4:$F$4,0)+1,FALSE),VLOOKUP(H248,'Amount Impute Table'!$A$16:$F$20,MATCH(E248,'Amount Impute Table'!$B$15:$F$15,0)+1,0)),B248)</f>
        <v>5862.61938473181</v>
      </c>
    </row>
    <row r="249" spans="1:9" x14ac:dyDescent="0.2">
      <c r="A249">
        <v>253</v>
      </c>
      <c r="B249">
        <v>851.29</v>
      </c>
      <c r="C249">
        <v>10954</v>
      </c>
      <c r="D249" t="s">
        <v>10</v>
      </c>
      <c r="E249" t="s">
        <v>12</v>
      </c>
      <c r="F249">
        <v>34</v>
      </c>
      <c r="G249">
        <v>0</v>
      </c>
      <c r="H249" t="str">
        <f>IF(ISBLANK(D249),IF(G249=1,VLOOKUP(E249,'Location Impute Tables'!$A$5:$J$9,10,0),VLOOKUP(E249,'Location Impute Tables'!$A$25:$J$29,10,0)),D249)</f>
        <v>Miami</v>
      </c>
      <c r="I249">
        <f>IF(ISBLANK(B249),IF(G249=1,VLOOKUP(H249,'Amount Impute Table'!$A$5:$F$9,MATCH(fraud_data!E249,'Amount Impute Table'!$B$4:$F$4,0)+1,FALSE),VLOOKUP(H249,'Amount Impute Table'!$A$16:$F$20,MATCH(E249,'Amount Impute Table'!$B$15:$F$15,0)+1,0)),B249)</f>
        <v>851.29</v>
      </c>
    </row>
    <row r="250" spans="1:9" x14ac:dyDescent="0.2">
      <c r="A250">
        <v>252</v>
      </c>
      <c r="B250">
        <v>385.71</v>
      </c>
      <c r="C250">
        <v>846</v>
      </c>
      <c r="D250" t="s">
        <v>15</v>
      </c>
      <c r="E250" t="s">
        <v>12</v>
      </c>
      <c r="F250">
        <v>32</v>
      </c>
      <c r="G250">
        <v>0</v>
      </c>
      <c r="H250" t="str">
        <f>IF(ISBLANK(D250),IF(G250=1,VLOOKUP(E250,'Location Impute Tables'!$A$5:$J$9,10,0),VLOOKUP(E250,'Location Impute Tables'!$A$25:$J$29,10,0)),D250)</f>
        <v>New York</v>
      </c>
      <c r="I250">
        <f>IF(ISBLANK(B250),IF(G250=1,VLOOKUP(H250,'Amount Impute Table'!$A$5:$F$9,MATCH(fraud_data!E250,'Amount Impute Table'!$B$4:$F$4,0)+1,FALSE),VLOOKUP(H250,'Amount Impute Table'!$A$16:$F$20,MATCH(E250,'Amount Impute Table'!$B$15:$F$15,0)+1,0)),B250)</f>
        <v>385.71</v>
      </c>
    </row>
    <row r="251" spans="1:9" x14ac:dyDescent="0.2">
      <c r="A251">
        <v>251</v>
      </c>
      <c r="B251">
        <v>295.14999999999998</v>
      </c>
      <c r="C251">
        <v>53441</v>
      </c>
      <c r="D251" t="s">
        <v>15</v>
      </c>
      <c r="E251" t="s">
        <v>16</v>
      </c>
      <c r="F251">
        <v>66</v>
      </c>
      <c r="G251">
        <v>0</v>
      </c>
      <c r="H251" t="str">
        <f>IF(ISBLANK(D251),IF(G251=1,VLOOKUP(E251,'Location Impute Tables'!$A$5:$J$9,10,0),VLOOKUP(E251,'Location Impute Tables'!$A$25:$J$29,10,0)),D251)</f>
        <v>New York</v>
      </c>
      <c r="I251">
        <f>IF(ISBLANK(B251),IF(G251=1,VLOOKUP(H251,'Amount Impute Table'!$A$5:$F$9,MATCH(fraud_data!E251,'Amount Impute Table'!$B$4:$F$4,0)+1,FALSE),VLOOKUP(H251,'Amount Impute Table'!$A$16:$F$20,MATCH(E251,'Amount Impute Table'!$B$15:$F$15,0)+1,0)),B251)</f>
        <v>295.14999999999998</v>
      </c>
    </row>
    <row r="252" spans="1:9" x14ac:dyDescent="0.2">
      <c r="A252">
        <v>250</v>
      </c>
      <c r="B252">
        <v>853.16</v>
      </c>
      <c r="C252">
        <v>13234</v>
      </c>
      <c r="D252" t="s">
        <v>10</v>
      </c>
      <c r="E252" t="s">
        <v>12</v>
      </c>
      <c r="F252">
        <v>25</v>
      </c>
      <c r="G252">
        <v>0</v>
      </c>
      <c r="H252" t="str">
        <f>IF(ISBLANK(D252),IF(G252=1,VLOOKUP(E252,'Location Impute Tables'!$A$5:$J$9,10,0),VLOOKUP(E252,'Location Impute Tables'!$A$25:$J$29,10,0)),D252)</f>
        <v>Miami</v>
      </c>
      <c r="I252">
        <f>IF(ISBLANK(B252),IF(G252=1,VLOOKUP(H252,'Amount Impute Table'!$A$5:$F$9,MATCH(fraud_data!E252,'Amount Impute Table'!$B$4:$F$4,0)+1,FALSE),VLOOKUP(H252,'Amount Impute Table'!$A$16:$F$20,MATCH(E252,'Amount Impute Table'!$B$15:$F$15,0)+1,0)),B252)</f>
        <v>853.16</v>
      </c>
    </row>
    <row r="253" spans="1:9" x14ac:dyDescent="0.2">
      <c r="A253">
        <v>249</v>
      </c>
      <c r="B253">
        <v>963.66</v>
      </c>
      <c r="C253">
        <v>84471</v>
      </c>
      <c r="D253" t="s">
        <v>9</v>
      </c>
      <c r="E253" t="s">
        <v>8</v>
      </c>
      <c r="G253">
        <v>0</v>
      </c>
      <c r="H253" t="str">
        <f>IF(ISBLANK(D253),IF(G253=1,VLOOKUP(E253,'Location Impute Tables'!$A$5:$J$9,10,0),VLOOKUP(E253,'Location Impute Tables'!$A$25:$J$29,10,0)),D253)</f>
        <v>Los Angeles</v>
      </c>
      <c r="I253">
        <f>IF(ISBLANK(B253),IF(G253=1,VLOOKUP(H253,'Amount Impute Table'!$A$5:$F$9,MATCH(fraud_data!E253,'Amount Impute Table'!$B$4:$F$4,0)+1,FALSE),VLOOKUP(H253,'Amount Impute Table'!$A$16:$F$20,MATCH(E253,'Amount Impute Table'!$B$15:$F$15,0)+1,0)),B253)</f>
        <v>963.66</v>
      </c>
    </row>
    <row r="254" spans="1:9" x14ac:dyDescent="0.2">
      <c r="A254">
        <v>248</v>
      </c>
      <c r="B254">
        <v>966.69</v>
      </c>
      <c r="C254">
        <v>117</v>
      </c>
      <c r="D254" t="s">
        <v>13</v>
      </c>
      <c r="E254" t="s">
        <v>14</v>
      </c>
      <c r="F254">
        <v>76</v>
      </c>
      <c r="G254">
        <v>0</v>
      </c>
      <c r="H254" t="str">
        <f>IF(ISBLANK(D254),IF(G254=1,VLOOKUP(E254,'Location Impute Tables'!$A$5:$J$9,10,0),VLOOKUP(E254,'Location Impute Tables'!$A$25:$J$29,10,0)),D254)</f>
        <v>Houston</v>
      </c>
      <c r="I254">
        <f>IF(ISBLANK(B254),IF(G254=1,VLOOKUP(H254,'Amount Impute Table'!$A$5:$F$9,MATCH(fraud_data!E254,'Amount Impute Table'!$B$4:$F$4,0)+1,FALSE),VLOOKUP(H254,'Amount Impute Table'!$A$16:$F$20,MATCH(E254,'Amount Impute Table'!$B$15:$F$15,0)+1,0)),B254)</f>
        <v>966.69</v>
      </c>
    </row>
    <row r="255" spans="1:9" x14ac:dyDescent="0.2">
      <c r="A255">
        <v>247</v>
      </c>
      <c r="B255">
        <v>428.76</v>
      </c>
      <c r="C255">
        <v>28746</v>
      </c>
      <c r="D255" t="s">
        <v>9</v>
      </c>
      <c r="E255" t="s">
        <v>14</v>
      </c>
      <c r="F255">
        <v>25</v>
      </c>
      <c r="G255">
        <v>0</v>
      </c>
      <c r="H255" t="str">
        <f>IF(ISBLANK(D255),IF(G255=1,VLOOKUP(E255,'Location Impute Tables'!$A$5:$J$9,10,0),VLOOKUP(E255,'Location Impute Tables'!$A$25:$J$29,10,0)),D255)</f>
        <v>Los Angeles</v>
      </c>
      <c r="I255">
        <f>IF(ISBLANK(B255),IF(G255=1,VLOOKUP(H255,'Amount Impute Table'!$A$5:$F$9,MATCH(fraud_data!E255,'Amount Impute Table'!$B$4:$F$4,0)+1,FALSE),VLOOKUP(H255,'Amount Impute Table'!$A$16:$F$20,MATCH(E255,'Amount Impute Table'!$B$15:$F$15,0)+1,0)),B255)</f>
        <v>428.76</v>
      </c>
    </row>
    <row r="256" spans="1:9" x14ac:dyDescent="0.2">
      <c r="A256">
        <v>246</v>
      </c>
      <c r="B256">
        <v>928.39</v>
      </c>
      <c r="C256">
        <v>79579</v>
      </c>
      <c r="D256" t="s">
        <v>10</v>
      </c>
      <c r="E256" t="s">
        <v>11</v>
      </c>
      <c r="F256">
        <v>51</v>
      </c>
      <c r="G256">
        <v>0</v>
      </c>
      <c r="H256" t="str">
        <f>IF(ISBLANK(D256),IF(G256=1,VLOOKUP(E256,'Location Impute Tables'!$A$5:$J$9,10,0),VLOOKUP(E256,'Location Impute Tables'!$A$25:$J$29,10,0)),D256)</f>
        <v>Miami</v>
      </c>
      <c r="I256">
        <f>IF(ISBLANK(B256),IF(G256=1,VLOOKUP(H256,'Amount Impute Table'!$A$5:$F$9,MATCH(fraud_data!E256,'Amount Impute Table'!$B$4:$F$4,0)+1,FALSE),VLOOKUP(H256,'Amount Impute Table'!$A$16:$F$20,MATCH(E256,'Amount Impute Table'!$B$15:$F$15,0)+1,0)),B256)</f>
        <v>928.39</v>
      </c>
    </row>
    <row r="257" spans="1:9" x14ac:dyDescent="0.2">
      <c r="A257">
        <v>245</v>
      </c>
      <c r="B257">
        <v>16.440000000000001</v>
      </c>
      <c r="C257">
        <v>41427</v>
      </c>
      <c r="D257" t="s">
        <v>7</v>
      </c>
      <c r="E257" t="s">
        <v>8</v>
      </c>
      <c r="F257">
        <v>72</v>
      </c>
      <c r="G257">
        <v>0</v>
      </c>
      <c r="H257" t="str">
        <f>IF(ISBLANK(D257),IF(G257=1,VLOOKUP(E257,'Location Impute Tables'!$A$5:$J$9,10,0),VLOOKUP(E257,'Location Impute Tables'!$A$25:$J$29,10,0)),D257)</f>
        <v>Chicago</v>
      </c>
      <c r="I257">
        <f>IF(ISBLANK(B257),IF(G257=1,VLOOKUP(H257,'Amount Impute Table'!$A$5:$F$9,MATCH(fraud_data!E257,'Amount Impute Table'!$B$4:$F$4,0)+1,FALSE),VLOOKUP(H257,'Amount Impute Table'!$A$16:$F$20,MATCH(E257,'Amount Impute Table'!$B$15:$F$15,0)+1,0)),B257)</f>
        <v>16.440000000000001</v>
      </c>
    </row>
    <row r="258" spans="1:9" x14ac:dyDescent="0.2">
      <c r="A258">
        <v>244</v>
      </c>
      <c r="B258">
        <v>370.79</v>
      </c>
      <c r="C258">
        <v>16389</v>
      </c>
      <c r="D258" t="s">
        <v>15</v>
      </c>
      <c r="E258" t="s">
        <v>8</v>
      </c>
      <c r="F258">
        <v>28</v>
      </c>
      <c r="G258">
        <v>0</v>
      </c>
      <c r="H258" t="str">
        <f>IF(ISBLANK(D258),IF(G258=1,VLOOKUP(E258,'Location Impute Tables'!$A$5:$J$9,10,0),VLOOKUP(E258,'Location Impute Tables'!$A$25:$J$29,10,0)),D258)</f>
        <v>New York</v>
      </c>
      <c r="I258">
        <f>IF(ISBLANK(B258),IF(G258=1,VLOOKUP(H258,'Amount Impute Table'!$A$5:$F$9,MATCH(fraud_data!E258,'Amount Impute Table'!$B$4:$F$4,0)+1,FALSE),VLOOKUP(H258,'Amount Impute Table'!$A$16:$F$20,MATCH(E258,'Amount Impute Table'!$B$15:$F$15,0)+1,0)),B258)</f>
        <v>370.79</v>
      </c>
    </row>
    <row r="259" spans="1:9" x14ac:dyDescent="0.2">
      <c r="A259">
        <v>243</v>
      </c>
      <c r="B259">
        <v>914.95</v>
      </c>
      <c r="C259">
        <v>38110</v>
      </c>
      <c r="D259" t="s">
        <v>15</v>
      </c>
      <c r="E259" t="s">
        <v>16</v>
      </c>
      <c r="F259">
        <v>45</v>
      </c>
      <c r="G259">
        <v>0</v>
      </c>
      <c r="H259" t="str">
        <f>IF(ISBLANK(D259),IF(G259=1,VLOOKUP(E259,'Location Impute Tables'!$A$5:$J$9,10,0),VLOOKUP(E259,'Location Impute Tables'!$A$25:$J$29,10,0)),D259)</f>
        <v>New York</v>
      </c>
      <c r="I259">
        <f>IF(ISBLANK(B259),IF(G259=1,VLOOKUP(H259,'Amount Impute Table'!$A$5:$F$9,MATCH(fraud_data!E259,'Amount Impute Table'!$B$4:$F$4,0)+1,FALSE),VLOOKUP(H259,'Amount Impute Table'!$A$16:$F$20,MATCH(E259,'Amount Impute Table'!$B$15:$F$15,0)+1,0)),B259)</f>
        <v>914.95</v>
      </c>
    </row>
    <row r="260" spans="1:9" x14ac:dyDescent="0.2">
      <c r="A260">
        <v>242</v>
      </c>
      <c r="B260">
        <v>953.97</v>
      </c>
      <c r="C260">
        <v>9111</v>
      </c>
      <c r="D260" t="s">
        <v>10</v>
      </c>
      <c r="E260" t="s">
        <v>8</v>
      </c>
      <c r="F260">
        <v>38</v>
      </c>
      <c r="G260">
        <v>0</v>
      </c>
      <c r="H260" t="str">
        <f>IF(ISBLANK(D260),IF(G260=1,VLOOKUP(E260,'Location Impute Tables'!$A$5:$J$9,10,0),VLOOKUP(E260,'Location Impute Tables'!$A$25:$J$29,10,0)),D260)</f>
        <v>Miami</v>
      </c>
      <c r="I260">
        <f>IF(ISBLANK(B260),IF(G260=1,VLOOKUP(H260,'Amount Impute Table'!$A$5:$F$9,MATCH(fraud_data!E260,'Amount Impute Table'!$B$4:$F$4,0)+1,FALSE),VLOOKUP(H260,'Amount Impute Table'!$A$16:$F$20,MATCH(E260,'Amount Impute Table'!$B$15:$F$15,0)+1,0)),B260)</f>
        <v>953.97</v>
      </c>
    </row>
    <row r="261" spans="1:9" x14ac:dyDescent="0.2">
      <c r="A261">
        <v>241</v>
      </c>
      <c r="B261">
        <v>940.52</v>
      </c>
      <c r="C261">
        <v>76323</v>
      </c>
      <c r="D261" t="s">
        <v>13</v>
      </c>
      <c r="E261" t="s">
        <v>11</v>
      </c>
      <c r="F261">
        <v>57</v>
      </c>
      <c r="G261">
        <v>0</v>
      </c>
      <c r="H261" t="str">
        <f>IF(ISBLANK(D261),IF(G261=1,VLOOKUP(E261,'Location Impute Tables'!$A$5:$J$9,10,0),VLOOKUP(E261,'Location Impute Tables'!$A$25:$J$29,10,0)),D261)</f>
        <v>Houston</v>
      </c>
      <c r="I261">
        <f>IF(ISBLANK(B261),IF(G261=1,VLOOKUP(H261,'Amount Impute Table'!$A$5:$F$9,MATCH(fraud_data!E261,'Amount Impute Table'!$B$4:$F$4,0)+1,FALSE),VLOOKUP(H261,'Amount Impute Table'!$A$16:$F$20,MATCH(E261,'Amount Impute Table'!$B$15:$F$15,0)+1,0)),B261)</f>
        <v>940.52</v>
      </c>
    </row>
    <row r="262" spans="1:9" x14ac:dyDescent="0.2">
      <c r="A262">
        <v>240</v>
      </c>
      <c r="B262">
        <v>177.93</v>
      </c>
      <c r="C262">
        <v>4324</v>
      </c>
      <c r="D262" t="s">
        <v>15</v>
      </c>
      <c r="E262" t="s">
        <v>16</v>
      </c>
      <c r="G262">
        <v>0</v>
      </c>
      <c r="H262" t="str">
        <f>IF(ISBLANK(D262),IF(G262=1,VLOOKUP(E262,'Location Impute Tables'!$A$5:$J$9,10,0),VLOOKUP(E262,'Location Impute Tables'!$A$25:$J$29,10,0)),D262)</f>
        <v>New York</v>
      </c>
      <c r="I262">
        <f>IF(ISBLANK(B262),IF(G262=1,VLOOKUP(H262,'Amount Impute Table'!$A$5:$F$9,MATCH(fraud_data!E262,'Amount Impute Table'!$B$4:$F$4,0)+1,FALSE),VLOOKUP(H262,'Amount Impute Table'!$A$16:$F$20,MATCH(E262,'Amount Impute Table'!$B$15:$F$15,0)+1,0)),B262)</f>
        <v>177.93</v>
      </c>
    </row>
    <row r="263" spans="1:9" x14ac:dyDescent="0.2">
      <c r="A263">
        <v>239</v>
      </c>
      <c r="B263">
        <v>645.83000000000004</v>
      </c>
      <c r="C263">
        <v>24818</v>
      </c>
      <c r="D263" t="s">
        <v>9</v>
      </c>
      <c r="E263" t="s">
        <v>8</v>
      </c>
      <c r="F263">
        <v>75</v>
      </c>
      <c r="G263">
        <v>0</v>
      </c>
      <c r="H263" t="str">
        <f>IF(ISBLANK(D263),IF(G263=1,VLOOKUP(E263,'Location Impute Tables'!$A$5:$J$9,10,0),VLOOKUP(E263,'Location Impute Tables'!$A$25:$J$29,10,0)),D263)</f>
        <v>Los Angeles</v>
      </c>
      <c r="I263">
        <f>IF(ISBLANK(B263),IF(G263=1,VLOOKUP(H263,'Amount Impute Table'!$A$5:$F$9,MATCH(fraud_data!E263,'Amount Impute Table'!$B$4:$F$4,0)+1,FALSE),VLOOKUP(H263,'Amount Impute Table'!$A$16:$F$20,MATCH(E263,'Amount Impute Table'!$B$15:$F$15,0)+1,0)),B263)</f>
        <v>645.83000000000004</v>
      </c>
    </row>
    <row r="264" spans="1:9" x14ac:dyDescent="0.2">
      <c r="A264">
        <v>238</v>
      </c>
      <c r="B264">
        <v>25.29</v>
      </c>
      <c r="C264">
        <v>13046</v>
      </c>
      <c r="D264" t="s">
        <v>15</v>
      </c>
      <c r="E264" t="s">
        <v>12</v>
      </c>
      <c r="F264">
        <v>120</v>
      </c>
      <c r="G264">
        <v>0</v>
      </c>
      <c r="H264" t="str">
        <f>IF(ISBLANK(D264),IF(G264=1,VLOOKUP(E264,'Location Impute Tables'!$A$5:$J$9,10,0),VLOOKUP(E264,'Location Impute Tables'!$A$25:$J$29,10,0)),D264)</f>
        <v>New York</v>
      </c>
      <c r="I264">
        <f>IF(ISBLANK(B264),IF(G264=1,VLOOKUP(H264,'Amount Impute Table'!$A$5:$F$9,MATCH(fraud_data!E264,'Amount Impute Table'!$B$4:$F$4,0)+1,FALSE),VLOOKUP(H264,'Amount Impute Table'!$A$16:$F$20,MATCH(E264,'Amount Impute Table'!$B$15:$F$15,0)+1,0)),B264)</f>
        <v>25.29</v>
      </c>
    </row>
    <row r="265" spans="1:9" x14ac:dyDescent="0.2">
      <c r="A265">
        <v>237</v>
      </c>
      <c r="B265">
        <v>281.49</v>
      </c>
      <c r="C265">
        <v>27446</v>
      </c>
      <c r="D265" t="s">
        <v>13</v>
      </c>
      <c r="E265" t="s">
        <v>8</v>
      </c>
      <c r="F265">
        <v>27</v>
      </c>
      <c r="G265">
        <v>0</v>
      </c>
      <c r="H265" t="str">
        <f>IF(ISBLANK(D265),IF(G265=1,VLOOKUP(E265,'Location Impute Tables'!$A$5:$J$9,10,0),VLOOKUP(E265,'Location Impute Tables'!$A$25:$J$29,10,0)),D265)</f>
        <v>Houston</v>
      </c>
      <c r="I265">
        <f>IF(ISBLANK(B265),IF(G265=1,VLOOKUP(H265,'Amount Impute Table'!$A$5:$F$9,MATCH(fraud_data!E265,'Amount Impute Table'!$B$4:$F$4,0)+1,FALSE),VLOOKUP(H265,'Amount Impute Table'!$A$16:$F$20,MATCH(E265,'Amount Impute Table'!$B$15:$F$15,0)+1,0)),B265)</f>
        <v>281.49</v>
      </c>
    </row>
    <row r="266" spans="1:9" x14ac:dyDescent="0.2">
      <c r="A266">
        <v>236</v>
      </c>
      <c r="B266">
        <v>722.73</v>
      </c>
      <c r="C266">
        <v>85655</v>
      </c>
      <c r="D266" t="s">
        <v>15</v>
      </c>
      <c r="E266" t="s">
        <v>12</v>
      </c>
      <c r="F266">
        <v>50</v>
      </c>
      <c r="G266">
        <v>0</v>
      </c>
      <c r="H266" t="str">
        <f>IF(ISBLANK(D266),IF(G266=1,VLOOKUP(E266,'Location Impute Tables'!$A$5:$J$9,10,0),VLOOKUP(E266,'Location Impute Tables'!$A$25:$J$29,10,0)),D266)</f>
        <v>New York</v>
      </c>
      <c r="I266">
        <f>IF(ISBLANK(B266),IF(G266=1,VLOOKUP(H266,'Amount Impute Table'!$A$5:$F$9,MATCH(fraud_data!E266,'Amount Impute Table'!$B$4:$F$4,0)+1,FALSE),VLOOKUP(H266,'Amount Impute Table'!$A$16:$F$20,MATCH(E266,'Amount Impute Table'!$B$15:$F$15,0)+1,0)),B266)</f>
        <v>722.73</v>
      </c>
    </row>
    <row r="267" spans="1:9" x14ac:dyDescent="0.2">
      <c r="A267">
        <v>235</v>
      </c>
      <c r="B267">
        <v>196.05</v>
      </c>
      <c r="C267">
        <v>13918</v>
      </c>
      <c r="D267" t="s">
        <v>13</v>
      </c>
      <c r="E267" t="s">
        <v>12</v>
      </c>
      <c r="F267">
        <v>46</v>
      </c>
      <c r="G267">
        <v>0</v>
      </c>
      <c r="H267" t="str">
        <f>IF(ISBLANK(D267),IF(G267=1,VLOOKUP(E267,'Location Impute Tables'!$A$5:$J$9,10,0),VLOOKUP(E267,'Location Impute Tables'!$A$25:$J$29,10,0)),D267)</f>
        <v>Houston</v>
      </c>
      <c r="I267">
        <f>IF(ISBLANK(B267),IF(G267=1,VLOOKUP(H267,'Amount Impute Table'!$A$5:$F$9,MATCH(fraud_data!E267,'Amount Impute Table'!$B$4:$F$4,0)+1,FALSE),VLOOKUP(H267,'Amount Impute Table'!$A$16:$F$20,MATCH(E267,'Amount Impute Table'!$B$15:$F$15,0)+1,0)),B267)</f>
        <v>196.05</v>
      </c>
    </row>
    <row r="268" spans="1:9" x14ac:dyDescent="0.2">
      <c r="A268">
        <v>234</v>
      </c>
      <c r="B268">
        <v>493.03</v>
      </c>
      <c r="C268">
        <v>76125</v>
      </c>
      <c r="D268" t="s">
        <v>10</v>
      </c>
      <c r="E268" t="s">
        <v>12</v>
      </c>
      <c r="F268">
        <v>65</v>
      </c>
      <c r="G268">
        <v>0</v>
      </c>
      <c r="H268" t="str">
        <f>IF(ISBLANK(D268),IF(G268=1,VLOOKUP(E268,'Location Impute Tables'!$A$5:$J$9,10,0),VLOOKUP(E268,'Location Impute Tables'!$A$25:$J$29,10,0)),D268)</f>
        <v>Miami</v>
      </c>
      <c r="I268">
        <f>IF(ISBLANK(B268),IF(G268=1,VLOOKUP(H268,'Amount Impute Table'!$A$5:$F$9,MATCH(fraud_data!E268,'Amount Impute Table'!$B$4:$F$4,0)+1,FALSE),VLOOKUP(H268,'Amount Impute Table'!$A$16:$F$20,MATCH(E268,'Amount Impute Table'!$B$15:$F$15,0)+1,0)),B268)</f>
        <v>493.03</v>
      </c>
    </row>
    <row r="269" spans="1:9" x14ac:dyDescent="0.2">
      <c r="A269">
        <v>233</v>
      </c>
      <c r="B269">
        <v>577.33000000000004</v>
      </c>
      <c r="C269">
        <v>56138</v>
      </c>
      <c r="D269" t="s">
        <v>10</v>
      </c>
      <c r="E269" t="s">
        <v>11</v>
      </c>
      <c r="F269">
        <v>77</v>
      </c>
      <c r="G269">
        <v>0</v>
      </c>
      <c r="H269" t="str">
        <f>IF(ISBLANK(D269),IF(G269=1,VLOOKUP(E269,'Location Impute Tables'!$A$5:$J$9,10,0),VLOOKUP(E269,'Location Impute Tables'!$A$25:$J$29,10,0)),D269)</f>
        <v>Miami</v>
      </c>
      <c r="I269">
        <f>IF(ISBLANK(B269),IF(G269=1,VLOOKUP(H269,'Amount Impute Table'!$A$5:$F$9,MATCH(fraud_data!E269,'Amount Impute Table'!$B$4:$F$4,0)+1,FALSE),VLOOKUP(H269,'Amount Impute Table'!$A$16:$F$20,MATCH(E269,'Amount Impute Table'!$B$15:$F$15,0)+1,0)),B269)</f>
        <v>577.33000000000004</v>
      </c>
    </row>
    <row r="270" spans="1:9" x14ac:dyDescent="0.2">
      <c r="A270">
        <v>232</v>
      </c>
      <c r="B270">
        <v>503.13</v>
      </c>
      <c r="C270">
        <v>77149</v>
      </c>
      <c r="E270" t="s">
        <v>12</v>
      </c>
      <c r="F270">
        <v>19</v>
      </c>
      <c r="G270">
        <v>0</v>
      </c>
      <c r="H270" t="str">
        <f>IF(ISBLANK(D270),IF(G270=1,VLOOKUP(E270,'Location Impute Tables'!$A$5:$J$9,10,0),VLOOKUP(E270,'Location Impute Tables'!$A$25:$J$29,10,0)),D270)</f>
        <v>Miami</v>
      </c>
      <c r="I270">
        <f>IF(ISBLANK(B270),IF(G270=1,VLOOKUP(H270,'Amount Impute Table'!$A$5:$F$9,MATCH(fraud_data!E270,'Amount Impute Table'!$B$4:$F$4,0)+1,FALSE),VLOOKUP(H270,'Amount Impute Table'!$A$16:$F$20,MATCH(E270,'Amount Impute Table'!$B$15:$F$15,0)+1,0)),B270)</f>
        <v>503.13</v>
      </c>
    </row>
    <row r="271" spans="1:9" x14ac:dyDescent="0.2">
      <c r="A271">
        <v>231</v>
      </c>
      <c r="B271">
        <v>795.02</v>
      </c>
      <c r="C271">
        <v>27139</v>
      </c>
      <c r="D271" t="s">
        <v>10</v>
      </c>
      <c r="E271" t="s">
        <v>8</v>
      </c>
      <c r="F271">
        <v>18</v>
      </c>
      <c r="G271">
        <v>0</v>
      </c>
      <c r="H271" t="str">
        <f>IF(ISBLANK(D271),IF(G271=1,VLOOKUP(E271,'Location Impute Tables'!$A$5:$J$9,10,0),VLOOKUP(E271,'Location Impute Tables'!$A$25:$J$29,10,0)),D271)</f>
        <v>Miami</v>
      </c>
      <c r="I271">
        <f>IF(ISBLANK(B271),IF(G271=1,VLOOKUP(H271,'Amount Impute Table'!$A$5:$F$9,MATCH(fraud_data!E271,'Amount Impute Table'!$B$4:$F$4,0)+1,FALSE),VLOOKUP(H271,'Amount Impute Table'!$A$16:$F$20,MATCH(E271,'Amount Impute Table'!$B$15:$F$15,0)+1,0)),B271)</f>
        <v>795.02</v>
      </c>
    </row>
    <row r="272" spans="1:9" x14ac:dyDescent="0.2">
      <c r="A272">
        <v>230</v>
      </c>
      <c r="B272">
        <v>631.51</v>
      </c>
      <c r="C272">
        <v>72303</v>
      </c>
      <c r="D272" t="s">
        <v>13</v>
      </c>
      <c r="E272" t="s">
        <v>12</v>
      </c>
      <c r="F272">
        <v>58</v>
      </c>
      <c r="G272">
        <v>0</v>
      </c>
      <c r="H272" t="str">
        <f>IF(ISBLANK(D272),IF(G272=1,VLOOKUP(E272,'Location Impute Tables'!$A$5:$J$9,10,0),VLOOKUP(E272,'Location Impute Tables'!$A$25:$J$29,10,0)),D272)</f>
        <v>Houston</v>
      </c>
      <c r="I272">
        <f>IF(ISBLANK(B272),IF(G272=1,VLOOKUP(H272,'Amount Impute Table'!$A$5:$F$9,MATCH(fraud_data!E272,'Amount Impute Table'!$B$4:$F$4,0)+1,FALSE),VLOOKUP(H272,'Amount Impute Table'!$A$16:$F$20,MATCH(E272,'Amount Impute Table'!$B$15:$F$15,0)+1,0)),B272)</f>
        <v>631.51</v>
      </c>
    </row>
    <row r="273" spans="1:9" x14ac:dyDescent="0.2">
      <c r="A273">
        <v>229</v>
      </c>
      <c r="B273">
        <v>892.15</v>
      </c>
      <c r="C273">
        <v>71158</v>
      </c>
      <c r="D273" t="s">
        <v>7</v>
      </c>
      <c r="E273" t="s">
        <v>14</v>
      </c>
      <c r="F273">
        <v>26</v>
      </c>
      <c r="G273">
        <v>1</v>
      </c>
      <c r="H273" t="str">
        <f>IF(ISBLANK(D273),IF(G273=1,VLOOKUP(E273,'Location Impute Tables'!$A$5:$J$9,10,0),VLOOKUP(E273,'Location Impute Tables'!$A$25:$J$29,10,0)),D273)</f>
        <v>Chicago</v>
      </c>
      <c r="I273">
        <f>IF(ISBLANK(B273),IF(G273=1,VLOOKUP(H273,'Amount Impute Table'!$A$5:$F$9,MATCH(fraud_data!E273,'Amount Impute Table'!$B$4:$F$4,0)+1,FALSE),VLOOKUP(H273,'Amount Impute Table'!$A$16:$F$20,MATCH(E273,'Amount Impute Table'!$B$15:$F$15,0)+1,0)),B273)</f>
        <v>892.15</v>
      </c>
    </row>
    <row r="274" spans="1:9" x14ac:dyDescent="0.2">
      <c r="A274">
        <v>228</v>
      </c>
      <c r="B274">
        <v>393.7</v>
      </c>
      <c r="C274">
        <v>1605</v>
      </c>
      <c r="D274" t="s">
        <v>7</v>
      </c>
      <c r="E274" t="s">
        <v>14</v>
      </c>
      <c r="F274">
        <v>73</v>
      </c>
      <c r="G274">
        <v>0</v>
      </c>
      <c r="H274" t="str">
        <f>IF(ISBLANK(D274),IF(G274=1,VLOOKUP(E274,'Location Impute Tables'!$A$5:$J$9,10,0),VLOOKUP(E274,'Location Impute Tables'!$A$25:$J$29,10,0)),D274)</f>
        <v>Chicago</v>
      </c>
      <c r="I274">
        <f>IF(ISBLANK(B274),IF(G274=1,VLOOKUP(H274,'Amount Impute Table'!$A$5:$F$9,MATCH(fraud_data!E274,'Amount Impute Table'!$B$4:$F$4,0)+1,FALSE),VLOOKUP(H274,'Amount Impute Table'!$A$16:$F$20,MATCH(E274,'Amount Impute Table'!$B$15:$F$15,0)+1,0)),B274)</f>
        <v>393.7</v>
      </c>
    </row>
    <row r="275" spans="1:9" x14ac:dyDescent="0.2">
      <c r="A275">
        <v>227</v>
      </c>
      <c r="B275">
        <v>973.04</v>
      </c>
      <c r="C275">
        <v>27285</v>
      </c>
      <c r="D275" t="s">
        <v>9</v>
      </c>
      <c r="E275" t="s">
        <v>8</v>
      </c>
      <c r="F275">
        <v>34</v>
      </c>
      <c r="G275">
        <v>0</v>
      </c>
      <c r="H275" t="str">
        <f>IF(ISBLANK(D275),IF(G275=1,VLOOKUP(E275,'Location Impute Tables'!$A$5:$J$9,10,0),VLOOKUP(E275,'Location Impute Tables'!$A$25:$J$29,10,0)),D275)</f>
        <v>Los Angeles</v>
      </c>
      <c r="I275">
        <f>IF(ISBLANK(B275),IF(G275=1,VLOOKUP(H275,'Amount Impute Table'!$A$5:$F$9,MATCH(fraud_data!E275,'Amount Impute Table'!$B$4:$F$4,0)+1,FALSE),VLOOKUP(H275,'Amount Impute Table'!$A$16:$F$20,MATCH(E275,'Amount Impute Table'!$B$15:$F$15,0)+1,0)),B275)</f>
        <v>973.04</v>
      </c>
    </row>
    <row r="276" spans="1:9" x14ac:dyDescent="0.2">
      <c r="A276">
        <v>226</v>
      </c>
      <c r="B276">
        <v>244.75</v>
      </c>
      <c r="C276">
        <v>58656</v>
      </c>
      <c r="D276" t="s">
        <v>10</v>
      </c>
      <c r="E276" t="s">
        <v>14</v>
      </c>
      <c r="F276">
        <v>58</v>
      </c>
      <c r="G276">
        <v>0</v>
      </c>
      <c r="H276" t="str">
        <f>IF(ISBLANK(D276),IF(G276=1,VLOOKUP(E276,'Location Impute Tables'!$A$5:$J$9,10,0),VLOOKUP(E276,'Location Impute Tables'!$A$25:$J$29,10,0)),D276)</f>
        <v>Miami</v>
      </c>
      <c r="I276">
        <f>IF(ISBLANK(B276),IF(G276=1,VLOOKUP(H276,'Amount Impute Table'!$A$5:$F$9,MATCH(fraud_data!E276,'Amount Impute Table'!$B$4:$F$4,0)+1,FALSE),VLOOKUP(H276,'Amount Impute Table'!$A$16:$F$20,MATCH(E276,'Amount Impute Table'!$B$15:$F$15,0)+1,0)),B276)</f>
        <v>244.75</v>
      </c>
    </row>
    <row r="277" spans="1:9" x14ac:dyDescent="0.2">
      <c r="A277">
        <v>225</v>
      </c>
      <c r="B277">
        <v>265.94</v>
      </c>
      <c r="C277">
        <v>28024</v>
      </c>
      <c r="D277" t="s">
        <v>10</v>
      </c>
      <c r="E277" t="s">
        <v>12</v>
      </c>
      <c r="F277">
        <v>66</v>
      </c>
      <c r="G277">
        <v>0</v>
      </c>
      <c r="H277" t="str">
        <f>IF(ISBLANK(D277),IF(G277=1,VLOOKUP(E277,'Location Impute Tables'!$A$5:$J$9,10,0),VLOOKUP(E277,'Location Impute Tables'!$A$25:$J$29,10,0)),D277)</f>
        <v>Miami</v>
      </c>
      <c r="I277">
        <f>IF(ISBLANK(B277),IF(G277=1,VLOOKUP(H277,'Amount Impute Table'!$A$5:$F$9,MATCH(fraud_data!E277,'Amount Impute Table'!$B$4:$F$4,0)+1,FALSE),VLOOKUP(H277,'Amount Impute Table'!$A$16:$F$20,MATCH(E277,'Amount Impute Table'!$B$15:$F$15,0)+1,0)),B277)</f>
        <v>265.94</v>
      </c>
    </row>
    <row r="278" spans="1:9" x14ac:dyDescent="0.2">
      <c r="A278">
        <v>224</v>
      </c>
      <c r="B278">
        <v>368.35</v>
      </c>
      <c r="C278">
        <v>3812</v>
      </c>
      <c r="D278" t="s">
        <v>7</v>
      </c>
      <c r="E278" t="s">
        <v>16</v>
      </c>
      <c r="F278">
        <v>30</v>
      </c>
      <c r="G278">
        <v>0</v>
      </c>
      <c r="H278" t="str">
        <f>IF(ISBLANK(D278),IF(G278=1,VLOOKUP(E278,'Location Impute Tables'!$A$5:$J$9,10,0),VLOOKUP(E278,'Location Impute Tables'!$A$25:$J$29,10,0)),D278)</f>
        <v>Chicago</v>
      </c>
      <c r="I278">
        <f>IF(ISBLANK(B278),IF(G278=1,VLOOKUP(H278,'Amount Impute Table'!$A$5:$F$9,MATCH(fraud_data!E278,'Amount Impute Table'!$B$4:$F$4,0)+1,FALSE),VLOOKUP(H278,'Amount Impute Table'!$A$16:$F$20,MATCH(E278,'Amount Impute Table'!$B$15:$F$15,0)+1,0)),B278)</f>
        <v>368.35</v>
      </c>
    </row>
    <row r="279" spans="1:9" x14ac:dyDescent="0.2">
      <c r="A279">
        <v>223</v>
      </c>
      <c r="B279">
        <v>94.58</v>
      </c>
      <c r="C279">
        <v>17260</v>
      </c>
      <c r="D279" t="s">
        <v>9</v>
      </c>
      <c r="E279" t="s">
        <v>12</v>
      </c>
      <c r="F279">
        <v>59</v>
      </c>
      <c r="G279">
        <v>1</v>
      </c>
      <c r="H279" t="str">
        <f>IF(ISBLANK(D279),IF(G279=1,VLOOKUP(E279,'Location Impute Tables'!$A$5:$J$9,10,0),VLOOKUP(E279,'Location Impute Tables'!$A$25:$J$29,10,0)),D279)</f>
        <v>Los Angeles</v>
      </c>
      <c r="I279">
        <f>IF(ISBLANK(B279),IF(G279=1,VLOOKUP(H279,'Amount Impute Table'!$A$5:$F$9,MATCH(fraud_data!E279,'Amount Impute Table'!$B$4:$F$4,0)+1,FALSE),VLOOKUP(H279,'Amount Impute Table'!$A$16:$F$20,MATCH(E279,'Amount Impute Table'!$B$15:$F$15,0)+1,0)),B279)</f>
        <v>94.58</v>
      </c>
    </row>
    <row r="280" spans="1:9" x14ac:dyDescent="0.2">
      <c r="A280">
        <v>222</v>
      </c>
      <c r="B280">
        <v>568.74</v>
      </c>
      <c r="C280">
        <v>76090</v>
      </c>
      <c r="D280" t="s">
        <v>9</v>
      </c>
      <c r="E280" t="s">
        <v>12</v>
      </c>
      <c r="F280">
        <v>38</v>
      </c>
      <c r="G280">
        <v>0</v>
      </c>
      <c r="H280" t="str">
        <f>IF(ISBLANK(D280),IF(G280=1,VLOOKUP(E280,'Location Impute Tables'!$A$5:$J$9,10,0),VLOOKUP(E280,'Location Impute Tables'!$A$25:$J$29,10,0)),D280)</f>
        <v>Los Angeles</v>
      </c>
      <c r="I280">
        <f>IF(ISBLANK(B280),IF(G280=1,VLOOKUP(H280,'Amount Impute Table'!$A$5:$F$9,MATCH(fraud_data!E280,'Amount Impute Table'!$B$4:$F$4,0)+1,FALSE),VLOOKUP(H280,'Amount Impute Table'!$A$16:$F$20,MATCH(E280,'Amount Impute Table'!$B$15:$F$15,0)+1,0)),B280)</f>
        <v>568.74</v>
      </c>
    </row>
    <row r="281" spans="1:9" x14ac:dyDescent="0.2">
      <c r="A281">
        <v>221</v>
      </c>
      <c r="B281">
        <v>657.96</v>
      </c>
      <c r="C281">
        <v>75703</v>
      </c>
      <c r="D281" t="s">
        <v>7</v>
      </c>
      <c r="E281" t="s">
        <v>16</v>
      </c>
      <c r="F281">
        <v>59</v>
      </c>
      <c r="G281">
        <v>0</v>
      </c>
      <c r="H281" t="str">
        <f>IF(ISBLANK(D281),IF(G281=1,VLOOKUP(E281,'Location Impute Tables'!$A$5:$J$9,10,0),VLOOKUP(E281,'Location Impute Tables'!$A$25:$J$29,10,0)),D281)</f>
        <v>Chicago</v>
      </c>
      <c r="I281">
        <f>IF(ISBLANK(B281),IF(G281=1,VLOOKUP(H281,'Amount Impute Table'!$A$5:$F$9,MATCH(fraud_data!E281,'Amount Impute Table'!$B$4:$F$4,0)+1,FALSE),VLOOKUP(H281,'Amount Impute Table'!$A$16:$F$20,MATCH(E281,'Amount Impute Table'!$B$15:$F$15,0)+1,0)),B281)</f>
        <v>657.96</v>
      </c>
    </row>
    <row r="282" spans="1:9" x14ac:dyDescent="0.2">
      <c r="A282">
        <v>220</v>
      </c>
      <c r="C282">
        <v>34529</v>
      </c>
      <c r="D282" t="s">
        <v>9</v>
      </c>
      <c r="E282" t="s">
        <v>14</v>
      </c>
      <c r="F282">
        <v>55</v>
      </c>
      <c r="G282">
        <v>0</v>
      </c>
      <c r="H282" t="str">
        <f>IF(ISBLANK(D282),IF(G282=1,VLOOKUP(E282,'Location Impute Tables'!$A$5:$J$9,10,0),VLOOKUP(E282,'Location Impute Tables'!$A$25:$J$29,10,0)),D282)</f>
        <v>Los Angeles</v>
      </c>
      <c r="I282">
        <f>IF(ISBLANK(B282),IF(G282=1,VLOOKUP(H282,'Amount Impute Table'!$A$5:$F$9,MATCH(fraud_data!E282,'Amount Impute Table'!$B$4:$F$4,0)+1,FALSE),VLOOKUP(H282,'Amount Impute Table'!$A$16:$F$20,MATCH(E282,'Amount Impute Table'!$B$15:$F$15,0)+1,0)),B282)</f>
        <v>557.75363636363636</v>
      </c>
    </row>
    <row r="283" spans="1:9" x14ac:dyDescent="0.2">
      <c r="A283">
        <v>219</v>
      </c>
      <c r="B283">
        <v>649.98</v>
      </c>
      <c r="C283">
        <v>48447</v>
      </c>
      <c r="E283" t="s">
        <v>16</v>
      </c>
      <c r="G283">
        <v>0</v>
      </c>
      <c r="H283" t="str">
        <f>IF(ISBLANK(D283),IF(G283=1,VLOOKUP(E283,'Location Impute Tables'!$A$5:$J$9,10,0),VLOOKUP(E283,'Location Impute Tables'!$A$25:$J$29,10,0)),D283)</f>
        <v>Los Angeles</v>
      </c>
      <c r="I283">
        <f>IF(ISBLANK(B283),IF(G283=1,VLOOKUP(H283,'Amount Impute Table'!$A$5:$F$9,MATCH(fraud_data!E283,'Amount Impute Table'!$B$4:$F$4,0)+1,FALSE),VLOOKUP(H283,'Amount Impute Table'!$A$16:$F$20,MATCH(E283,'Amount Impute Table'!$B$15:$F$15,0)+1,0)),B283)</f>
        <v>649.98</v>
      </c>
    </row>
    <row r="284" spans="1:9" x14ac:dyDescent="0.2">
      <c r="A284">
        <v>218</v>
      </c>
      <c r="B284">
        <v>746.74</v>
      </c>
      <c r="C284">
        <v>54553</v>
      </c>
      <c r="D284" t="s">
        <v>9</v>
      </c>
      <c r="E284" t="s">
        <v>16</v>
      </c>
      <c r="F284">
        <v>69</v>
      </c>
      <c r="G284">
        <v>0</v>
      </c>
      <c r="H284" t="str">
        <f>IF(ISBLANK(D284),IF(G284=1,VLOOKUP(E284,'Location Impute Tables'!$A$5:$J$9,10,0),VLOOKUP(E284,'Location Impute Tables'!$A$25:$J$29,10,0)),D284)</f>
        <v>Los Angeles</v>
      </c>
      <c r="I284">
        <f>IF(ISBLANK(B284),IF(G284=1,VLOOKUP(H284,'Amount Impute Table'!$A$5:$F$9,MATCH(fraud_data!E284,'Amount Impute Table'!$B$4:$F$4,0)+1,FALSE),VLOOKUP(H284,'Amount Impute Table'!$A$16:$F$20,MATCH(E284,'Amount Impute Table'!$B$15:$F$15,0)+1,0)),B284)</f>
        <v>746.74</v>
      </c>
    </row>
    <row r="285" spans="1:9" x14ac:dyDescent="0.2">
      <c r="A285">
        <v>217</v>
      </c>
      <c r="B285">
        <v>326.07</v>
      </c>
      <c r="C285">
        <v>84659</v>
      </c>
      <c r="D285" t="s">
        <v>10</v>
      </c>
      <c r="E285" t="s">
        <v>12</v>
      </c>
      <c r="F285">
        <v>46</v>
      </c>
      <c r="G285">
        <v>0</v>
      </c>
      <c r="H285" t="str">
        <f>IF(ISBLANK(D285),IF(G285=1,VLOOKUP(E285,'Location Impute Tables'!$A$5:$J$9,10,0),VLOOKUP(E285,'Location Impute Tables'!$A$25:$J$29,10,0)),D285)</f>
        <v>Miami</v>
      </c>
      <c r="I285">
        <f>IF(ISBLANK(B285),IF(G285=1,VLOOKUP(H285,'Amount Impute Table'!$A$5:$F$9,MATCH(fraud_data!E285,'Amount Impute Table'!$B$4:$F$4,0)+1,FALSE),VLOOKUP(H285,'Amount Impute Table'!$A$16:$F$20,MATCH(E285,'Amount Impute Table'!$B$15:$F$15,0)+1,0)),B285)</f>
        <v>326.07</v>
      </c>
    </row>
    <row r="286" spans="1:9" x14ac:dyDescent="0.2">
      <c r="A286">
        <v>216</v>
      </c>
      <c r="B286">
        <v>238.01</v>
      </c>
      <c r="C286">
        <v>62981</v>
      </c>
      <c r="D286" t="s">
        <v>15</v>
      </c>
      <c r="E286" t="s">
        <v>11</v>
      </c>
      <c r="F286">
        <v>58</v>
      </c>
      <c r="G286">
        <v>0</v>
      </c>
      <c r="H286" t="str">
        <f>IF(ISBLANK(D286),IF(G286=1,VLOOKUP(E286,'Location Impute Tables'!$A$5:$J$9,10,0),VLOOKUP(E286,'Location Impute Tables'!$A$25:$J$29,10,0)),D286)</f>
        <v>New York</v>
      </c>
      <c r="I286">
        <f>IF(ISBLANK(B286),IF(G286=1,VLOOKUP(H286,'Amount Impute Table'!$A$5:$F$9,MATCH(fraud_data!E286,'Amount Impute Table'!$B$4:$F$4,0)+1,FALSE),VLOOKUP(H286,'Amount Impute Table'!$A$16:$F$20,MATCH(E286,'Amount Impute Table'!$B$15:$F$15,0)+1,0)),B286)</f>
        <v>238.01</v>
      </c>
    </row>
    <row r="287" spans="1:9" x14ac:dyDescent="0.2">
      <c r="A287">
        <v>215</v>
      </c>
      <c r="B287">
        <v>712.47</v>
      </c>
      <c r="C287">
        <v>60004</v>
      </c>
      <c r="D287" t="s">
        <v>9</v>
      </c>
      <c r="E287" t="s">
        <v>8</v>
      </c>
      <c r="F287">
        <v>52</v>
      </c>
      <c r="G287">
        <v>0</v>
      </c>
      <c r="H287" t="str">
        <f>IF(ISBLANK(D287),IF(G287=1,VLOOKUP(E287,'Location Impute Tables'!$A$5:$J$9,10,0),VLOOKUP(E287,'Location Impute Tables'!$A$25:$J$29,10,0)),D287)</f>
        <v>Los Angeles</v>
      </c>
      <c r="I287">
        <f>IF(ISBLANK(B287),IF(G287=1,VLOOKUP(H287,'Amount Impute Table'!$A$5:$F$9,MATCH(fraud_data!E287,'Amount Impute Table'!$B$4:$F$4,0)+1,FALSE),VLOOKUP(H287,'Amount Impute Table'!$A$16:$F$20,MATCH(E287,'Amount Impute Table'!$B$15:$F$15,0)+1,0)),B287)</f>
        <v>712.47</v>
      </c>
    </row>
    <row r="288" spans="1:9" x14ac:dyDescent="0.2">
      <c r="A288">
        <v>214</v>
      </c>
      <c r="B288">
        <v>225.05</v>
      </c>
      <c r="C288">
        <v>81449</v>
      </c>
      <c r="D288" t="s">
        <v>10</v>
      </c>
      <c r="E288" t="s">
        <v>14</v>
      </c>
      <c r="F288">
        <v>57</v>
      </c>
      <c r="G288">
        <v>1</v>
      </c>
      <c r="H288" t="str">
        <f>IF(ISBLANK(D288),IF(G288=1,VLOOKUP(E288,'Location Impute Tables'!$A$5:$J$9,10,0),VLOOKUP(E288,'Location Impute Tables'!$A$25:$J$29,10,0)),D288)</f>
        <v>Miami</v>
      </c>
      <c r="I288">
        <f>IF(ISBLANK(B288),IF(G288=1,VLOOKUP(H288,'Amount Impute Table'!$A$5:$F$9,MATCH(fraud_data!E288,'Amount Impute Table'!$B$4:$F$4,0)+1,FALSE),VLOOKUP(H288,'Amount Impute Table'!$A$16:$F$20,MATCH(E288,'Amount Impute Table'!$B$15:$F$15,0)+1,0)),B288)</f>
        <v>225.05</v>
      </c>
    </row>
    <row r="289" spans="1:9" x14ac:dyDescent="0.2">
      <c r="A289">
        <v>213</v>
      </c>
      <c r="B289">
        <v>652.30999999999995</v>
      </c>
      <c r="C289">
        <v>72274</v>
      </c>
      <c r="D289" t="s">
        <v>15</v>
      </c>
      <c r="E289" t="s">
        <v>12</v>
      </c>
      <c r="F289">
        <v>35</v>
      </c>
      <c r="G289">
        <v>1</v>
      </c>
      <c r="H289" t="str">
        <f>IF(ISBLANK(D289),IF(G289=1,VLOOKUP(E289,'Location Impute Tables'!$A$5:$J$9,10,0),VLOOKUP(E289,'Location Impute Tables'!$A$25:$J$29,10,0)),D289)</f>
        <v>New York</v>
      </c>
      <c r="I289">
        <f>IF(ISBLANK(B289),IF(G289=1,VLOOKUP(H289,'Amount Impute Table'!$A$5:$F$9,MATCH(fraud_data!E289,'Amount Impute Table'!$B$4:$F$4,0)+1,FALSE),VLOOKUP(H289,'Amount Impute Table'!$A$16:$F$20,MATCH(E289,'Amount Impute Table'!$B$15:$F$15,0)+1,0)),B289)</f>
        <v>652.30999999999995</v>
      </c>
    </row>
    <row r="290" spans="1:9" x14ac:dyDescent="0.2">
      <c r="A290">
        <v>212</v>
      </c>
      <c r="B290">
        <v>692.2</v>
      </c>
      <c r="C290">
        <v>23275</v>
      </c>
      <c r="D290" t="s">
        <v>10</v>
      </c>
      <c r="E290" t="s">
        <v>8</v>
      </c>
      <c r="F290">
        <v>77</v>
      </c>
      <c r="G290">
        <v>0</v>
      </c>
      <c r="H290" t="str">
        <f>IF(ISBLANK(D290),IF(G290=1,VLOOKUP(E290,'Location Impute Tables'!$A$5:$J$9,10,0),VLOOKUP(E290,'Location Impute Tables'!$A$25:$J$29,10,0)),D290)</f>
        <v>Miami</v>
      </c>
      <c r="I290">
        <f>IF(ISBLANK(B290),IF(G290=1,VLOOKUP(H290,'Amount Impute Table'!$A$5:$F$9,MATCH(fraud_data!E290,'Amount Impute Table'!$B$4:$F$4,0)+1,FALSE),VLOOKUP(H290,'Amount Impute Table'!$A$16:$F$20,MATCH(E290,'Amount Impute Table'!$B$15:$F$15,0)+1,0)),B290)</f>
        <v>692.2</v>
      </c>
    </row>
    <row r="291" spans="1:9" x14ac:dyDescent="0.2">
      <c r="A291">
        <v>211</v>
      </c>
      <c r="C291">
        <v>81264</v>
      </c>
      <c r="D291" t="s">
        <v>13</v>
      </c>
      <c r="E291" t="s">
        <v>12</v>
      </c>
      <c r="F291">
        <v>65</v>
      </c>
      <c r="G291">
        <v>0</v>
      </c>
      <c r="H291" t="str">
        <f>IF(ISBLANK(D291),IF(G291=1,VLOOKUP(E291,'Location Impute Tables'!$A$5:$J$9,10,0),VLOOKUP(E291,'Location Impute Tables'!$A$25:$J$29,10,0)),D291)</f>
        <v>Houston</v>
      </c>
      <c r="I291">
        <f>IF(ISBLANK(B291),IF(G291=1,VLOOKUP(H291,'Amount Impute Table'!$A$5:$F$9,MATCH(fraud_data!E291,'Amount Impute Table'!$B$4:$F$4,0)+1,FALSE),VLOOKUP(H291,'Amount Impute Table'!$A$16:$F$20,MATCH(E291,'Amount Impute Table'!$B$15:$F$15,0)+1,0)),B291)</f>
        <v>510.41857142857151</v>
      </c>
    </row>
    <row r="292" spans="1:9" x14ac:dyDescent="0.2">
      <c r="A292">
        <v>210</v>
      </c>
      <c r="B292">
        <v>161.65</v>
      </c>
      <c r="C292">
        <v>77735</v>
      </c>
      <c r="D292" t="s">
        <v>15</v>
      </c>
      <c r="E292" t="s">
        <v>11</v>
      </c>
      <c r="G292">
        <v>0</v>
      </c>
      <c r="H292" t="str">
        <f>IF(ISBLANK(D292),IF(G292=1,VLOOKUP(E292,'Location Impute Tables'!$A$5:$J$9,10,0),VLOOKUP(E292,'Location Impute Tables'!$A$25:$J$29,10,0)),D292)</f>
        <v>New York</v>
      </c>
      <c r="I292">
        <f>IF(ISBLANK(B292),IF(G292=1,VLOOKUP(H292,'Amount Impute Table'!$A$5:$F$9,MATCH(fraud_data!E292,'Amount Impute Table'!$B$4:$F$4,0)+1,FALSE),VLOOKUP(H292,'Amount Impute Table'!$A$16:$F$20,MATCH(E292,'Amount Impute Table'!$B$15:$F$15,0)+1,0)),B292)</f>
        <v>161.65</v>
      </c>
    </row>
    <row r="293" spans="1:9" x14ac:dyDescent="0.2">
      <c r="A293">
        <v>209</v>
      </c>
      <c r="B293">
        <v>6.06</v>
      </c>
      <c r="C293">
        <v>73479</v>
      </c>
      <c r="D293" t="s">
        <v>13</v>
      </c>
      <c r="E293" t="s">
        <v>11</v>
      </c>
      <c r="F293">
        <v>51</v>
      </c>
      <c r="G293">
        <v>0</v>
      </c>
      <c r="H293" t="str">
        <f>IF(ISBLANK(D293),IF(G293=1,VLOOKUP(E293,'Location Impute Tables'!$A$5:$J$9,10,0),VLOOKUP(E293,'Location Impute Tables'!$A$25:$J$29,10,0)),D293)</f>
        <v>Houston</v>
      </c>
      <c r="I293">
        <f>IF(ISBLANK(B293),IF(G293=1,VLOOKUP(H293,'Amount Impute Table'!$A$5:$F$9,MATCH(fraud_data!E293,'Amount Impute Table'!$B$4:$F$4,0)+1,FALSE),VLOOKUP(H293,'Amount Impute Table'!$A$16:$F$20,MATCH(E293,'Amount Impute Table'!$B$15:$F$15,0)+1,0)),B293)</f>
        <v>6.06</v>
      </c>
    </row>
    <row r="294" spans="1:9" x14ac:dyDescent="0.2">
      <c r="A294">
        <v>208</v>
      </c>
      <c r="B294">
        <v>663.84</v>
      </c>
      <c r="C294">
        <v>12910</v>
      </c>
      <c r="E294" t="s">
        <v>12</v>
      </c>
      <c r="F294">
        <v>21</v>
      </c>
      <c r="G294">
        <v>1</v>
      </c>
      <c r="H294" t="str">
        <f>IF(ISBLANK(D294),IF(G294=1,VLOOKUP(E294,'Location Impute Tables'!$A$5:$J$9,10,0),VLOOKUP(E294,'Location Impute Tables'!$A$25:$J$29,10,0)),D294)</f>
        <v>New York</v>
      </c>
      <c r="I294">
        <f>IF(ISBLANK(B294),IF(G294=1,VLOOKUP(H294,'Amount Impute Table'!$A$5:$F$9,MATCH(fraud_data!E294,'Amount Impute Table'!$B$4:$F$4,0)+1,FALSE),VLOOKUP(H294,'Amount Impute Table'!$A$16:$F$20,MATCH(E294,'Amount Impute Table'!$B$15:$F$15,0)+1,0)),B294)</f>
        <v>663.84</v>
      </c>
    </row>
    <row r="295" spans="1:9" x14ac:dyDescent="0.2">
      <c r="A295">
        <v>207</v>
      </c>
      <c r="C295">
        <v>79905</v>
      </c>
      <c r="D295" t="s">
        <v>7</v>
      </c>
      <c r="E295" t="s">
        <v>14</v>
      </c>
      <c r="F295">
        <v>5</v>
      </c>
      <c r="G295">
        <v>0</v>
      </c>
      <c r="H295" t="str">
        <f>IF(ISBLANK(D295),IF(G295=1,VLOOKUP(E295,'Location Impute Tables'!$A$5:$J$9,10,0),VLOOKUP(E295,'Location Impute Tables'!$A$25:$J$29,10,0)),D295)</f>
        <v>Chicago</v>
      </c>
      <c r="I295">
        <f>IF(ISBLANK(B295),IF(G295=1,VLOOKUP(H295,'Amount Impute Table'!$A$5:$F$9,MATCH(fraud_data!E295,'Amount Impute Table'!$B$4:$F$4,0)+1,FALSE),VLOOKUP(H295,'Amount Impute Table'!$A$16:$F$20,MATCH(E295,'Amount Impute Table'!$B$15:$F$15,0)+1,0)),B295)</f>
        <v>585.44833333333338</v>
      </c>
    </row>
    <row r="296" spans="1:9" x14ac:dyDescent="0.2">
      <c r="A296">
        <v>206</v>
      </c>
      <c r="B296">
        <v>10.19</v>
      </c>
      <c r="C296">
        <v>26069</v>
      </c>
      <c r="D296" t="s">
        <v>10</v>
      </c>
      <c r="E296" t="s">
        <v>16</v>
      </c>
      <c r="F296">
        <v>43</v>
      </c>
      <c r="G296">
        <v>0</v>
      </c>
      <c r="H296" t="str">
        <f>IF(ISBLANK(D296),IF(G296=1,VLOOKUP(E296,'Location Impute Tables'!$A$5:$J$9,10,0),VLOOKUP(E296,'Location Impute Tables'!$A$25:$J$29,10,0)),D296)</f>
        <v>Miami</v>
      </c>
      <c r="I296">
        <f>IF(ISBLANK(B296),IF(G296=1,VLOOKUP(H296,'Amount Impute Table'!$A$5:$F$9,MATCH(fraud_data!E296,'Amount Impute Table'!$B$4:$F$4,0)+1,FALSE),VLOOKUP(H296,'Amount Impute Table'!$A$16:$F$20,MATCH(E296,'Amount Impute Table'!$B$15:$F$15,0)+1,0)),B296)</f>
        <v>10.19</v>
      </c>
    </row>
    <row r="297" spans="1:9" x14ac:dyDescent="0.2">
      <c r="A297">
        <v>205</v>
      </c>
      <c r="B297">
        <v>606.82000000000005</v>
      </c>
      <c r="C297">
        <v>6371</v>
      </c>
      <c r="D297" t="s">
        <v>7</v>
      </c>
      <c r="E297" t="s">
        <v>12</v>
      </c>
      <c r="F297">
        <v>70</v>
      </c>
      <c r="G297">
        <v>0</v>
      </c>
      <c r="H297" t="str">
        <f>IF(ISBLANK(D297),IF(G297=1,VLOOKUP(E297,'Location Impute Tables'!$A$5:$J$9,10,0),VLOOKUP(E297,'Location Impute Tables'!$A$25:$J$29,10,0)),D297)</f>
        <v>Chicago</v>
      </c>
      <c r="I297">
        <f>IF(ISBLANK(B297),IF(G297=1,VLOOKUP(H297,'Amount Impute Table'!$A$5:$F$9,MATCH(fraud_data!E297,'Amount Impute Table'!$B$4:$F$4,0)+1,FALSE),VLOOKUP(H297,'Amount Impute Table'!$A$16:$F$20,MATCH(E297,'Amount Impute Table'!$B$15:$F$15,0)+1,0)),B297)</f>
        <v>606.82000000000005</v>
      </c>
    </row>
    <row r="298" spans="1:9" x14ac:dyDescent="0.2">
      <c r="A298">
        <v>204</v>
      </c>
      <c r="B298">
        <v>898.66</v>
      </c>
      <c r="C298">
        <v>26734</v>
      </c>
      <c r="D298" t="s">
        <v>9</v>
      </c>
      <c r="E298" t="s">
        <v>16</v>
      </c>
      <c r="F298">
        <v>72</v>
      </c>
      <c r="G298">
        <v>0</v>
      </c>
      <c r="H298" t="str">
        <f>IF(ISBLANK(D298),IF(G298=1,VLOOKUP(E298,'Location Impute Tables'!$A$5:$J$9,10,0),VLOOKUP(E298,'Location Impute Tables'!$A$25:$J$29,10,0)),D298)</f>
        <v>Los Angeles</v>
      </c>
      <c r="I298">
        <f>IF(ISBLANK(B298),IF(G298=1,VLOOKUP(H298,'Amount Impute Table'!$A$5:$F$9,MATCH(fraud_data!E298,'Amount Impute Table'!$B$4:$F$4,0)+1,FALSE),VLOOKUP(H298,'Amount Impute Table'!$A$16:$F$20,MATCH(E298,'Amount Impute Table'!$B$15:$F$15,0)+1,0)),B298)</f>
        <v>898.66</v>
      </c>
    </row>
    <row r="299" spans="1:9" x14ac:dyDescent="0.2">
      <c r="A299">
        <v>203</v>
      </c>
      <c r="B299">
        <v>162.47</v>
      </c>
      <c r="C299">
        <v>82152</v>
      </c>
      <c r="D299" t="s">
        <v>10</v>
      </c>
      <c r="E299" t="s">
        <v>11</v>
      </c>
      <c r="F299">
        <v>120</v>
      </c>
      <c r="G299">
        <v>1</v>
      </c>
      <c r="H299" t="str">
        <f>IF(ISBLANK(D299),IF(G299=1,VLOOKUP(E299,'Location Impute Tables'!$A$5:$J$9,10,0),VLOOKUP(E299,'Location Impute Tables'!$A$25:$J$29,10,0)),D299)</f>
        <v>Miami</v>
      </c>
      <c r="I299">
        <f>IF(ISBLANK(B299),IF(G299=1,VLOOKUP(H299,'Amount Impute Table'!$A$5:$F$9,MATCH(fraud_data!E299,'Amount Impute Table'!$B$4:$F$4,0)+1,FALSE),VLOOKUP(H299,'Amount Impute Table'!$A$16:$F$20,MATCH(E299,'Amount Impute Table'!$B$15:$F$15,0)+1,0)),B299)</f>
        <v>162.47</v>
      </c>
    </row>
    <row r="300" spans="1:9" x14ac:dyDescent="0.2">
      <c r="A300">
        <v>202</v>
      </c>
      <c r="B300">
        <v>85.06</v>
      </c>
      <c r="C300">
        <v>73794</v>
      </c>
      <c r="D300" t="s">
        <v>13</v>
      </c>
      <c r="E300" t="s">
        <v>8</v>
      </c>
      <c r="F300">
        <v>38</v>
      </c>
      <c r="G300">
        <v>0</v>
      </c>
      <c r="H300" t="str">
        <f>IF(ISBLANK(D300),IF(G300=1,VLOOKUP(E300,'Location Impute Tables'!$A$5:$J$9,10,0),VLOOKUP(E300,'Location Impute Tables'!$A$25:$J$29,10,0)),D300)</f>
        <v>Houston</v>
      </c>
      <c r="I300">
        <f>IF(ISBLANK(B300),IF(G300=1,VLOOKUP(H300,'Amount Impute Table'!$A$5:$F$9,MATCH(fraud_data!E300,'Amount Impute Table'!$B$4:$F$4,0)+1,FALSE),VLOOKUP(H300,'Amount Impute Table'!$A$16:$F$20,MATCH(E300,'Amount Impute Table'!$B$15:$F$15,0)+1,0)),B300)</f>
        <v>85.06</v>
      </c>
    </row>
    <row r="301" spans="1:9" x14ac:dyDescent="0.2">
      <c r="A301">
        <v>201</v>
      </c>
      <c r="B301">
        <v>642.39</v>
      </c>
      <c r="C301">
        <v>7561</v>
      </c>
      <c r="D301" t="s">
        <v>13</v>
      </c>
      <c r="E301" t="s">
        <v>8</v>
      </c>
      <c r="F301">
        <v>28</v>
      </c>
      <c r="G301">
        <v>0</v>
      </c>
      <c r="H301" t="str">
        <f>IF(ISBLANK(D301),IF(G301=1,VLOOKUP(E301,'Location Impute Tables'!$A$5:$J$9,10,0),VLOOKUP(E301,'Location Impute Tables'!$A$25:$J$29,10,0)),D301)</f>
        <v>Houston</v>
      </c>
      <c r="I301">
        <f>IF(ISBLANK(B301),IF(G301=1,VLOOKUP(H301,'Amount Impute Table'!$A$5:$F$9,MATCH(fraud_data!E301,'Amount Impute Table'!$B$4:$F$4,0)+1,FALSE),VLOOKUP(H301,'Amount Impute Table'!$A$16:$F$20,MATCH(E301,'Amount Impute Table'!$B$15:$F$15,0)+1,0)),B301)</f>
        <v>642.39</v>
      </c>
    </row>
    <row r="302" spans="1:9" x14ac:dyDescent="0.2">
      <c r="A302">
        <v>200</v>
      </c>
      <c r="B302">
        <v>780.1</v>
      </c>
      <c r="C302">
        <v>6168</v>
      </c>
      <c r="D302" t="s">
        <v>7</v>
      </c>
      <c r="E302" t="s">
        <v>14</v>
      </c>
      <c r="F302">
        <v>77</v>
      </c>
      <c r="G302">
        <v>0</v>
      </c>
      <c r="H302" t="str">
        <f>IF(ISBLANK(D302),IF(G302=1,VLOOKUP(E302,'Location Impute Tables'!$A$5:$J$9,10,0),VLOOKUP(E302,'Location Impute Tables'!$A$25:$J$29,10,0)),D302)</f>
        <v>Chicago</v>
      </c>
      <c r="I302">
        <f>IF(ISBLANK(B302),IF(G302=1,VLOOKUP(H302,'Amount Impute Table'!$A$5:$F$9,MATCH(fraud_data!E302,'Amount Impute Table'!$B$4:$F$4,0)+1,FALSE),VLOOKUP(H302,'Amount Impute Table'!$A$16:$F$20,MATCH(E302,'Amount Impute Table'!$B$15:$F$15,0)+1,0)),B302)</f>
        <v>780.1</v>
      </c>
    </row>
    <row r="303" spans="1:9" x14ac:dyDescent="0.2">
      <c r="A303">
        <v>199</v>
      </c>
      <c r="B303">
        <v>887.2</v>
      </c>
      <c r="C303">
        <v>3596</v>
      </c>
      <c r="D303" t="s">
        <v>15</v>
      </c>
      <c r="E303" t="s">
        <v>11</v>
      </c>
      <c r="F303">
        <v>66</v>
      </c>
      <c r="G303">
        <v>0</v>
      </c>
      <c r="H303" t="str">
        <f>IF(ISBLANK(D303),IF(G303=1,VLOOKUP(E303,'Location Impute Tables'!$A$5:$J$9,10,0),VLOOKUP(E303,'Location Impute Tables'!$A$25:$J$29,10,0)),D303)</f>
        <v>New York</v>
      </c>
      <c r="I303">
        <f>IF(ISBLANK(B303),IF(G303=1,VLOOKUP(H303,'Amount Impute Table'!$A$5:$F$9,MATCH(fraud_data!E303,'Amount Impute Table'!$B$4:$F$4,0)+1,FALSE),VLOOKUP(H303,'Amount Impute Table'!$A$16:$F$20,MATCH(E303,'Amount Impute Table'!$B$15:$F$15,0)+1,0)),B303)</f>
        <v>887.2</v>
      </c>
    </row>
    <row r="304" spans="1:9" x14ac:dyDescent="0.2">
      <c r="A304">
        <v>198</v>
      </c>
      <c r="B304">
        <v>897.21</v>
      </c>
      <c r="C304">
        <v>4632</v>
      </c>
      <c r="D304" t="s">
        <v>9</v>
      </c>
      <c r="E304" t="s">
        <v>14</v>
      </c>
      <c r="F304">
        <v>52</v>
      </c>
      <c r="G304">
        <v>0</v>
      </c>
      <c r="H304" t="str">
        <f>IF(ISBLANK(D304),IF(G304=1,VLOOKUP(E304,'Location Impute Tables'!$A$5:$J$9,10,0),VLOOKUP(E304,'Location Impute Tables'!$A$25:$J$29,10,0)),D304)</f>
        <v>Los Angeles</v>
      </c>
      <c r="I304">
        <f>IF(ISBLANK(B304),IF(G304=1,VLOOKUP(H304,'Amount Impute Table'!$A$5:$F$9,MATCH(fraud_data!E304,'Amount Impute Table'!$B$4:$F$4,0)+1,FALSE),VLOOKUP(H304,'Amount Impute Table'!$A$16:$F$20,MATCH(E304,'Amount Impute Table'!$B$15:$F$15,0)+1,0)),B304)</f>
        <v>897.21</v>
      </c>
    </row>
    <row r="305" spans="1:9" x14ac:dyDescent="0.2">
      <c r="A305">
        <v>197</v>
      </c>
      <c r="B305">
        <v>726.23</v>
      </c>
      <c r="C305">
        <v>47915</v>
      </c>
      <c r="D305" t="s">
        <v>7</v>
      </c>
      <c r="E305" t="s">
        <v>14</v>
      </c>
      <c r="F305">
        <v>34</v>
      </c>
      <c r="G305">
        <v>0</v>
      </c>
      <c r="H305" t="str">
        <f>IF(ISBLANK(D305),IF(G305=1,VLOOKUP(E305,'Location Impute Tables'!$A$5:$J$9,10,0),VLOOKUP(E305,'Location Impute Tables'!$A$25:$J$29,10,0)),D305)</f>
        <v>Chicago</v>
      </c>
      <c r="I305">
        <f>IF(ISBLANK(B305),IF(G305=1,VLOOKUP(H305,'Amount Impute Table'!$A$5:$F$9,MATCH(fraud_data!E305,'Amount Impute Table'!$B$4:$F$4,0)+1,FALSE),VLOOKUP(H305,'Amount Impute Table'!$A$16:$F$20,MATCH(E305,'Amount Impute Table'!$B$15:$F$15,0)+1,0)),B305)</f>
        <v>726.23</v>
      </c>
    </row>
    <row r="306" spans="1:9" x14ac:dyDescent="0.2">
      <c r="A306">
        <v>196</v>
      </c>
      <c r="B306">
        <v>349.86</v>
      </c>
      <c r="C306">
        <v>56793</v>
      </c>
      <c r="D306" t="s">
        <v>9</v>
      </c>
      <c r="E306" t="s">
        <v>11</v>
      </c>
      <c r="F306">
        <v>53</v>
      </c>
      <c r="G306">
        <v>0</v>
      </c>
      <c r="H306" t="str">
        <f>IF(ISBLANK(D306),IF(G306=1,VLOOKUP(E306,'Location Impute Tables'!$A$5:$J$9,10,0),VLOOKUP(E306,'Location Impute Tables'!$A$25:$J$29,10,0)),D306)</f>
        <v>Los Angeles</v>
      </c>
      <c r="I306">
        <f>IF(ISBLANK(B306),IF(G306=1,VLOOKUP(H306,'Amount Impute Table'!$A$5:$F$9,MATCH(fraud_data!E306,'Amount Impute Table'!$B$4:$F$4,0)+1,FALSE),VLOOKUP(H306,'Amount Impute Table'!$A$16:$F$20,MATCH(E306,'Amount Impute Table'!$B$15:$F$15,0)+1,0)),B306)</f>
        <v>349.86</v>
      </c>
    </row>
    <row r="307" spans="1:9" x14ac:dyDescent="0.2">
      <c r="A307">
        <v>195</v>
      </c>
      <c r="C307">
        <v>6229</v>
      </c>
      <c r="D307" t="s">
        <v>7</v>
      </c>
      <c r="E307" t="s">
        <v>8</v>
      </c>
      <c r="F307">
        <v>49</v>
      </c>
      <c r="G307">
        <v>0</v>
      </c>
      <c r="H307" t="str">
        <f>IF(ISBLANK(D307),IF(G307=1,VLOOKUP(E307,'Location Impute Tables'!$A$5:$J$9,10,0),VLOOKUP(E307,'Location Impute Tables'!$A$25:$J$29,10,0)),D307)</f>
        <v>Chicago</v>
      </c>
      <c r="I307">
        <f>IF(ISBLANK(B307),IF(G307=1,VLOOKUP(H307,'Amount Impute Table'!$A$5:$F$9,MATCH(fraud_data!E307,'Amount Impute Table'!$B$4:$F$4,0)+1,FALSE),VLOOKUP(H307,'Amount Impute Table'!$A$16:$F$20,MATCH(E307,'Amount Impute Table'!$B$15:$F$15,0)+1,0)),B307)</f>
        <v>486.12</v>
      </c>
    </row>
    <row r="308" spans="1:9" x14ac:dyDescent="0.2">
      <c r="A308">
        <v>194</v>
      </c>
      <c r="B308">
        <v>633.47</v>
      </c>
      <c r="C308">
        <v>50448</v>
      </c>
      <c r="D308" t="s">
        <v>13</v>
      </c>
      <c r="E308" t="s">
        <v>14</v>
      </c>
      <c r="F308">
        <v>62</v>
      </c>
      <c r="G308">
        <v>0</v>
      </c>
      <c r="H308" t="str">
        <f>IF(ISBLANK(D308),IF(G308=1,VLOOKUP(E308,'Location Impute Tables'!$A$5:$J$9,10,0),VLOOKUP(E308,'Location Impute Tables'!$A$25:$J$29,10,0)),D308)</f>
        <v>Houston</v>
      </c>
      <c r="I308">
        <f>IF(ISBLANK(B308),IF(G308=1,VLOOKUP(H308,'Amount Impute Table'!$A$5:$F$9,MATCH(fraud_data!E308,'Amount Impute Table'!$B$4:$F$4,0)+1,FALSE),VLOOKUP(H308,'Amount Impute Table'!$A$16:$F$20,MATCH(E308,'Amount Impute Table'!$B$15:$F$15,0)+1,0)),B308)</f>
        <v>633.47</v>
      </c>
    </row>
    <row r="309" spans="1:9" x14ac:dyDescent="0.2">
      <c r="A309">
        <v>193</v>
      </c>
      <c r="B309">
        <v>900.52</v>
      </c>
      <c r="C309">
        <v>1062</v>
      </c>
      <c r="D309" t="s">
        <v>9</v>
      </c>
      <c r="E309" t="s">
        <v>12</v>
      </c>
      <c r="F309">
        <v>54</v>
      </c>
      <c r="G309">
        <v>0</v>
      </c>
      <c r="H309" t="str">
        <f>IF(ISBLANK(D309),IF(G309=1,VLOOKUP(E309,'Location Impute Tables'!$A$5:$J$9,10,0),VLOOKUP(E309,'Location Impute Tables'!$A$25:$J$29,10,0)),D309)</f>
        <v>Los Angeles</v>
      </c>
      <c r="I309">
        <f>IF(ISBLANK(B309),IF(G309=1,VLOOKUP(H309,'Amount Impute Table'!$A$5:$F$9,MATCH(fraud_data!E309,'Amount Impute Table'!$B$4:$F$4,0)+1,FALSE),VLOOKUP(H309,'Amount Impute Table'!$A$16:$F$20,MATCH(E309,'Amount Impute Table'!$B$15:$F$15,0)+1,0)),B309)</f>
        <v>900.52</v>
      </c>
    </row>
    <row r="310" spans="1:9" x14ac:dyDescent="0.2">
      <c r="A310">
        <v>192</v>
      </c>
      <c r="B310">
        <v>897.32</v>
      </c>
      <c r="C310">
        <v>10267</v>
      </c>
      <c r="D310" t="s">
        <v>10</v>
      </c>
      <c r="E310" t="s">
        <v>16</v>
      </c>
      <c r="G310">
        <v>0</v>
      </c>
      <c r="H310" t="str">
        <f>IF(ISBLANK(D310),IF(G310=1,VLOOKUP(E310,'Location Impute Tables'!$A$5:$J$9,10,0),VLOOKUP(E310,'Location Impute Tables'!$A$25:$J$29,10,0)),D310)</f>
        <v>Miami</v>
      </c>
      <c r="I310">
        <f>IF(ISBLANK(B310),IF(G310=1,VLOOKUP(H310,'Amount Impute Table'!$A$5:$F$9,MATCH(fraud_data!E310,'Amount Impute Table'!$B$4:$F$4,0)+1,FALSE),VLOOKUP(H310,'Amount Impute Table'!$A$16:$F$20,MATCH(E310,'Amount Impute Table'!$B$15:$F$15,0)+1,0)),B310)</f>
        <v>897.32</v>
      </c>
    </row>
    <row r="311" spans="1:9" x14ac:dyDescent="0.2">
      <c r="A311">
        <v>191</v>
      </c>
      <c r="B311">
        <v>94.01</v>
      </c>
      <c r="C311">
        <v>38518</v>
      </c>
      <c r="D311" t="s">
        <v>7</v>
      </c>
      <c r="E311" t="s">
        <v>14</v>
      </c>
      <c r="G311">
        <v>0</v>
      </c>
      <c r="H311" t="str">
        <f>IF(ISBLANK(D311),IF(G311=1,VLOOKUP(E311,'Location Impute Tables'!$A$5:$J$9,10,0),VLOOKUP(E311,'Location Impute Tables'!$A$25:$J$29,10,0)),D311)</f>
        <v>Chicago</v>
      </c>
      <c r="I311">
        <f>IF(ISBLANK(B311),IF(G311=1,VLOOKUP(H311,'Amount Impute Table'!$A$5:$F$9,MATCH(fraud_data!E311,'Amount Impute Table'!$B$4:$F$4,0)+1,FALSE),VLOOKUP(H311,'Amount Impute Table'!$A$16:$F$20,MATCH(E311,'Amount Impute Table'!$B$15:$F$15,0)+1,0)),B311)</f>
        <v>94.01</v>
      </c>
    </row>
    <row r="312" spans="1:9" x14ac:dyDescent="0.2">
      <c r="A312">
        <v>190</v>
      </c>
      <c r="B312">
        <v>242.61</v>
      </c>
      <c r="C312">
        <v>73688</v>
      </c>
      <c r="D312" t="s">
        <v>9</v>
      </c>
      <c r="E312" t="s">
        <v>8</v>
      </c>
      <c r="F312">
        <v>38</v>
      </c>
      <c r="G312">
        <v>0</v>
      </c>
      <c r="H312" t="str">
        <f>IF(ISBLANK(D312),IF(G312=1,VLOOKUP(E312,'Location Impute Tables'!$A$5:$J$9,10,0),VLOOKUP(E312,'Location Impute Tables'!$A$25:$J$29,10,0)),D312)</f>
        <v>Los Angeles</v>
      </c>
      <c r="I312">
        <f>IF(ISBLANK(B312),IF(G312=1,VLOOKUP(H312,'Amount Impute Table'!$A$5:$F$9,MATCH(fraud_data!E312,'Amount Impute Table'!$B$4:$F$4,0)+1,FALSE),VLOOKUP(H312,'Amount Impute Table'!$A$16:$F$20,MATCH(E312,'Amount Impute Table'!$B$15:$F$15,0)+1,0)),B312)</f>
        <v>242.61</v>
      </c>
    </row>
    <row r="313" spans="1:9" x14ac:dyDescent="0.2">
      <c r="A313">
        <v>189</v>
      </c>
      <c r="B313">
        <v>530.12</v>
      </c>
      <c r="C313">
        <v>46271</v>
      </c>
      <c r="D313" t="s">
        <v>7</v>
      </c>
      <c r="E313" t="s">
        <v>12</v>
      </c>
      <c r="F313">
        <v>62</v>
      </c>
      <c r="G313">
        <v>0</v>
      </c>
      <c r="H313" t="str">
        <f>IF(ISBLANK(D313),IF(G313=1,VLOOKUP(E313,'Location Impute Tables'!$A$5:$J$9,10,0),VLOOKUP(E313,'Location Impute Tables'!$A$25:$J$29,10,0)),D313)</f>
        <v>Chicago</v>
      </c>
      <c r="I313">
        <f>IF(ISBLANK(B313),IF(G313=1,VLOOKUP(H313,'Amount Impute Table'!$A$5:$F$9,MATCH(fraud_data!E313,'Amount Impute Table'!$B$4:$F$4,0)+1,FALSE),VLOOKUP(H313,'Amount Impute Table'!$A$16:$F$20,MATCH(E313,'Amount Impute Table'!$B$15:$F$15,0)+1,0)),B313)</f>
        <v>530.12</v>
      </c>
    </row>
    <row r="314" spans="1:9" x14ac:dyDescent="0.2">
      <c r="A314">
        <v>188</v>
      </c>
      <c r="B314">
        <v>555.65</v>
      </c>
      <c r="C314">
        <v>35854</v>
      </c>
      <c r="D314" t="s">
        <v>15</v>
      </c>
      <c r="E314" t="s">
        <v>12</v>
      </c>
      <c r="F314">
        <v>67</v>
      </c>
      <c r="G314">
        <v>0</v>
      </c>
      <c r="H314" t="str">
        <f>IF(ISBLANK(D314),IF(G314=1,VLOOKUP(E314,'Location Impute Tables'!$A$5:$J$9,10,0),VLOOKUP(E314,'Location Impute Tables'!$A$25:$J$29,10,0)),D314)</f>
        <v>New York</v>
      </c>
      <c r="I314">
        <f>IF(ISBLANK(B314),IF(G314=1,VLOOKUP(H314,'Amount Impute Table'!$A$5:$F$9,MATCH(fraud_data!E314,'Amount Impute Table'!$B$4:$F$4,0)+1,FALSE),VLOOKUP(H314,'Amount Impute Table'!$A$16:$F$20,MATCH(E314,'Amount Impute Table'!$B$15:$F$15,0)+1,0)),B314)</f>
        <v>555.65</v>
      </c>
    </row>
    <row r="315" spans="1:9" x14ac:dyDescent="0.2">
      <c r="A315">
        <v>187</v>
      </c>
      <c r="B315">
        <v>817.4</v>
      </c>
      <c r="C315">
        <v>34674</v>
      </c>
      <c r="D315" t="s">
        <v>10</v>
      </c>
      <c r="E315" t="s">
        <v>16</v>
      </c>
      <c r="F315">
        <v>43</v>
      </c>
      <c r="G315">
        <v>0</v>
      </c>
      <c r="H315" t="str">
        <f>IF(ISBLANK(D315),IF(G315=1,VLOOKUP(E315,'Location Impute Tables'!$A$5:$J$9,10,0),VLOOKUP(E315,'Location Impute Tables'!$A$25:$J$29,10,0)),D315)</f>
        <v>Miami</v>
      </c>
      <c r="I315">
        <f>IF(ISBLANK(B315),IF(G315=1,VLOOKUP(H315,'Amount Impute Table'!$A$5:$F$9,MATCH(fraud_data!E315,'Amount Impute Table'!$B$4:$F$4,0)+1,FALSE),VLOOKUP(H315,'Amount Impute Table'!$A$16:$F$20,MATCH(E315,'Amount Impute Table'!$B$15:$F$15,0)+1,0)),B315)</f>
        <v>817.4</v>
      </c>
    </row>
    <row r="316" spans="1:9" x14ac:dyDescent="0.2">
      <c r="A316">
        <v>186</v>
      </c>
      <c r="B316">
        <v>660.32</v>
      </c>
      <c r="C316">
        <v>67067</v>
      </c>
      <c r="D316" t="s">
        <v>9</v>
      </c>
      <c r="E316" t="s">
        <v>14</v>
      </c>
      <c r="F316">
        <v>38</v>
      </c>
      <c r="G316">
        <v>0</v>
      </c>
      <c r="H316" t="str">
        <f>IF(ISBLANK(D316),IF(G316=1,VLOOKUP(E316,'Location Impute Tables'!$A$5:$J$9,10,0),VLOOKUP(E316,'Location Impute Tables'!$A$25:$J$29,10,0)),D316)</f>
        <v>Los Angeles</v>
      </c>
      <c r="I316">
        <f>IF(ISBLANK(B316),IF(G316=1,VLOOKUP(H316,'Amount Impute Table'!$A$5:$F$9,MATCH(fraud_data!E316,'Amount Impute Table'!$B$4:$F$4,0)+1,FALSE),VLOOKUP(H316,'Amount Impute Table'!$A$16:$F$20,MATCH(E316,'Amount Impute Table'!$B$15:$F$15,0)+1,0)),B316)</f>
        <v>660.32</v>
      </c>
    </row>
    <row r="317" spans="1:9" x14ac:dyDescent="0.2">
      <c r="A317">
        <v>185</v>
      </c>
      <c r="B317">
        <v>258.68</v>
      </c>
      <c r="C317">
        <v>38638</v>
      </c>
      <c r="D317" t="s">
        <v>10</v>
      </c>
      <c r="E317" t="s">
        <v>11</v>
      </c>
      <c r="F317">
        <v>30</v>
      </c>
      <c r="G317">
        <v>0</v>
      </c>
      <c r="H317" t="str">
        <f>IF(ISBLANK(D317),IF(G317=1,VLOOKUP(E317,'Location Impute Tables'!$A$5:$J$9,10,0),VLOOKUP(E317,'Location Impute Tables'!$A$25:$J$29,10,0)),D317)</f>
        <v>Miami</v>
      </c>
      <c r="I317">
        <f>IF(ISBLANK(B317),IF(G317=1,VLOOKUP(H317,'Amount Impute Table'!$A$5:$F$9,MATCH(fraud_data!E317,'Amount Impute Table'!$B$4:$F$4,0)+1,FALSE),VLOOKUP(H317,'Amount Impute Table'!$A$16:$F$20,MATCH(E317,'Amount Impute Table'!$B$15:$F$15,0)+1,0)),B317)</f>
        <v>258.68</v>
      </c>
    </row>
    <row r="318" spans="1:9" x14ac:dyDescent="0.2">
      <c r="A318">
        <v>184</v>
      </c>
      <c r="B318">
        <v>877.46</v>
      </c>
      <c r="C318">
        <v>55658</v>
      </c>
      <c r="D318" t="s">
        <v>9</v>
      </c>
      <c r="E318" t="s">
        <v>16</v>
      </c>
      <c r="F318">
        <v>18</v>
      </c>
      <c r="G318">
        <v>0</v>
      </c>
      <c r="H318" t="str">
        <f>IF(ISBLANK(D318),IF(G318=1,VLOOKUP(E318,'Location Impute Tables'!$A$5:$J$9,10,0),VLOOKUP(E318,'Location Impute Tables'!$A$25:$J$29,10,0)),D318)</f>
        <v>Los Angeles</v>
      </c>
      <c r="I318">
        <f>IF(ISBLANK(B318),IF(G318=1,VLOOKUP(H318,'Amount Impute Table'!$A$5:$F$9,MATCH(fraud_data!E318,'Amount Impute Table'!$B$4:$F$4,0)+1,FALSE),VLOOKUP(H318,'Amount Impute Table'!$A$16:$F$20,MATCH(E318,'Amount Impute Table'!$B$15:$F$15,0)+1,0)),B318)</f>
        <v>877.46</v>
      </c>
    </row>
    <row r="319" spans="1:9" x14ac:dyDescent="0.2">
      <c r="A319">
        <v>183</v>
      </c>
      <c r="B319">
        <v>924.77</v>
      </c>
      <c r="C319">
        <v>84717</v>
      </c>
      <c r="E319" t="s">
        <v>16</v>
      </c>
      <c r="F319">
        <v>22</v>
      </c>
      <c r="G319">
        <v>0</v>
      </c>
      <c r="H319" t="str">
        <f>IF(ISBLANK(D319),IF(G319=1,VLOOKUP(E319,'Location Impute Tables'!$A$5:$J$9,10,0),VLOOKUP(E319,'Location Impute Tables'!$A$25:$J$29,10,0)),D319)</f>
        <v>Los Angeles</v>
      </c>
      <c r="I319">
        <f>IF(ISBLANK(B319),IF(G319=1,VLOOKUP(H319,'Amount Impute Table'!$A$5:$F$9,MATCH(fraud_data!E319,'Amount Impute Table'!$B$4:$F$4,0)+1,FALSE),VLOOKUP(H319,'Amount Impute Table'!$A$16:$F$20,MATCH(E319,'Amount Impute Table'!$B$15:$F$15,0)+1,0)),B319)</f>
        <v>924.77</v>
      </c>
    </row>
    <row r="320" spans="1:9" x14ac:dyDescent="0.2">
      <c r="A320">
        <v>182</v>
      </c>
      <c r="C320">
        <v>82838</v>
      </c>
      <c r="D320" t="s">
        <v>9</v>
      </c>
      <c r="E320" t="s">
        <v>16</v>
      </c>
      <c r="F320">
        <v>56</v>
      </c>
      <c r="G320">
        <v>0</v>
      </c>
      <c r="H320" t="str">
        <f>IF(ISBLANK(D320),IF(G320=1,VLOOKUP(E320,'Location Impute Tables'!$A$5:$J$9,10,0),VLOOKUP(E320,'Location Impute Tables'!$A$25:$J$29,10,0)),D320)</f>
        <v>Los Angeles</v>
      </c>
      <c r="I320">
        <f>IF(ISBLANK(B320),IF(G320=1,VLOOKUP(H320,'Amount Impute Table'!$A$5:$F$9,MATCH(fraud_data!E320,'Amount Impute Table'!$B$4:$F$4,0)+1,FALSE),VLOOKUP(H320,'Amount Impute Table'!$A$16:$F$20,MATCH(E320,'Amount Impute Table'!$B$15:$F$15,0)+1,0)),B320)</f>
        <v>533.33758620689673</v>
      </c>
    </row>
    <row r="321" spans="1:9" x14ac:dyDescent="0.2">
      <c r="A321">
        <v>181</v>
      </c>
      <c r="B321">
        <v>341.73</v>
      </c>
      <c r="C321">
        <v>18030</v>
      </c>
      <c r="D321" t="s">
        <v>9</v>
      </c>
      <c r="E321" t="s">
        <v>8</v>
      </c>
      <c r="F321">
        <v>73</v>
      </c>
      <c r="G321">
        <v>0</v>
      </c>
      <c r="H321" t="str">
        <f>IF(ISBLANK(D321),IF(G321=1,VLOOKUP(E321,'Location Impute Tables'!$A$5:$J$9,10,0),VLOOKUP(E321,'Location Impute Tables'!$A$25:$J$29,10,0)),D321)</f>
        <v>Los Angeles</v>
      </c>
      <c r="I321">
        <f>IF(ISBLANK(B321),IF(G321=1,VLOOKUP(H321,'Amount Impute Table'!$A$5:$F$9,MATCH(fraud_data!E321,'Amount Impute Table'!$B$4:$F$4,0)+1,FALSE),VLOOKUP(H321,'Amount Impute Table'!$A$16:$F$20,MATCH(E321,'Amount Impute Table'!$B$15:$F$15,0)+1,0)),B321)</f>
        <v>341.73</v>
      </c>
    </row>
    <row r="322" spans="1:9" x14ac:dyDescent="0.2">
      <c r="A322">
        <v>180</v>
      </c>
      <c r="B322">
        <v>138.38</v>
      </c>
      <c r="C322">
        <v>5122</v>
      </c>
      <c r="D322" t="s">
        <v>10</v>
      </c>
      <c r="E322" t="s">
        <v>8</v>
      </c>
      <c r="F322">
        <v>75</v>
      </c>
      <c r="G322">
        <v>0</v>
      </c>
      <c r="H322" t="str">
        <f>IF(ISBLANK(D322),IF(G322=1,VLOOKUP(E322,'Location Impute Tables'!$A$5:$J$9,10,0),VLOOKUP(E322,'Location Impute Tables'!$A$25:$J$29,10,0)),D322)</f>
        <v>Miami</v>
      </c>
      <c r="I322">
        <f>IF(ISBLANK(B322),IF(G322=1,VLOOKUP(H322,'Amount Impute Table'!$A$5:$F$9,MATCH(fraud_data!E322,'Amount Impute Table'!$B$4:$F$4,0)+1,FALSE),VLOOKUP(H322,'Amount Impute Table'!$A$16:$F$20,MATCH(E322,'Amount Impute Table'!$B$15:$F$15,0)+1,0)),B322)</f>
        <v>138.38</v>
      </c>
    </row>
    <row r="323" spans="1:9" x14ac:dyDescent="0.2">
      <c r="A323">
        <v>179</v>
      </c>
      <c r="B323">
        <v>936.79</v>
      </c>
      <c r="C323">
        <v>5126</v>
      </c>
      <c r="D323" t="s">
        <v>15</v>
      </c>
      <c r="E323" t="s">
        <v>14</v>
      </c>
      <c r="F323">
        <v>40</v>
      </c>
      <c r="G323">
        <v>0</v>
      </c>
      <c r="H323" t="str">
        <f>IF(ISBLANK(D323),IF(G323=1,VLOOKUP(E323,'Location Impute Tables'!$A$5:$J$9,10,0),VLOOKUP(E323,'Location Impute Tables'!$A$25:$J$29,10,0)),D323)</f>
        <v>New York</v>
      </c>
      <c r="I323">
        <f>IF(ISBLANK(B323),IF(G323=1,VLOOKUP(H323,'Amount Impute Table'!$A$5:$F$9,MATCH(fraud_data!E323,'Amount Impute Table'!$B$4:$F$4,0)+1,FALSE),VLOOKUP(H323,'Amount Impute Table'!$A$16:$F$20,MATCH(E323,'Amount Impute Table'!$B$15:$F$15,0)+1,0)),B323)</f>
        <v>936.79</v>
      </c>
    </row>
    <row r="324" spans="1:9" x14ac:dyDescent="0.2">
      <c r="A324">
        <v>178</v>
      </c>
      <c r="B324">
        <v>387.35</v>
      </c>
      <c r="C324">
        <v>15034</v>
      </c>
      <c r="D324" t="s">
        <v>9</v>
      </c>
      <c r="E324" t="s">
        <v>16</v>
      </c>
      <c r="F324">
        <v>27</v>
      </c>
      <c r="G324">
        <v>0</v>
      </c>
      <c r="H324" t="str">
        <f>IF(ISBLANK(D324),IF(G324=1,VLOOKUP(E324,'Location Impute Tables'!$A$5:$J$9,10,0),VLOOKUP(E324,'Location Impute Tables'!$A$25:$J$29,10,0)),D324)</f>
        <v>Los Angeles</v>
      </c>
      <c r="I324">
        <f>IF(ISBLANK(B324),IF(G324=1,VLOOKUP(H324,'Amount Impute Table'!$A$5:$F$9,MATCH(fraud_data!E324,'Amount Impute Table'!$B$4:$F$4,0)+1,FALSE),VLOOKUP(H324,'Amount Impute Table'!$A$16:$F$20,MATCH(E324,'Amount Impute Table'!$B$15:$F$15,0)+1,0)),B324)</f>
        <v>387.35</v>
      </c>
    </row>
    <row r="325" spans="1:9" x14ac:dyDescent="0.2">
      <c r="A325">
        <v>177</v>
      </c>
      <c r="B325">
        <v>691.25</v>
      </c>
      <c r="C325">
        <v>4621</v>
      </c>
      <c r="D325" t="s">
        <v>7</v>
      </c>
      <c r="E325" t="s">
        <v>14</v>
      </c>
      <c r="F325">
        <v>38</v>
      </c>
      <c r="G325">
        <v>0</v>
      </c>
      <c r="H325" t="str">
        <f>IF(ISBLANK(D325),IF(G325=1,VLOOKUP(E325,'Location Impute Tables'!$A$5:$J$9,10,0),VLOOKUP(E325,'Location Impute Tables'!$A$25:$J$29,10,0)),D325)</f>
        <v>Chicago</v>
      </c>
      <c r="I325">
        <f>IF(ISBLANK(B325),IF(G325=1,VLOOKUP(H325,'Amount Impute Table'!$A$5:$F$9,MATCH(fraud_data!E325,'Amount Impute Table'!$B$4:$F$4,0)+1,FALSE),VLOOKUP(H325,'Amount Impute Table'!$A$16:$F$20,MATCH(E325,'Amount Impute Table'!$B$15:$F$15,0)+1,0)),B325)</f>
        <v>691.25</v>
      </c>
    </row>
    <row r="326" spans="1:9" x14ac:dyDescent="0.2">
      <c r="A326">
        <v>176</v>
      </c>
      <c r="B326">
        <v>175.19</v>
      </c>
      <c r="C326">
        <v>16748</v>
      </c>
      <c r="E326" t="s">
        <v>14</v>
      </c>
      <c r="F326">
        <v>32</v>
      </c>
      <c r="G326">
        <v>0</v>
      </c>
      <c r="H326" t="str">
        <f>IF(ISBLANK(D326),IF(G326=1,VLOOKUP(E326,'Location Impute Tables'!$A$5:$J$9,10,0),VLOOKUP(E326,'Location Impute Tables'!$A$25:$J$29,10,0)),D326)</f>
        <v>Houston</v>
      </c>
      <c r="I326">
        <f>IF(ISBLANK(B326),IF(G326=1,VLOOKUP(H326,'Amount Impute Table'!$A$5:$F$9,MATCH(fraud_data!E326,'Amount Impute Table'!$B$4:$F$4,0)+1,FALSE),VLOOKUP(H326,'Amount Impute Table'!$A$16:$F$20,MATCH(E326,'Amount Impute Table'!$B$15:$F$15,0)+1,0)),B326)</f>
        <v>175.19</v>
      </c>
    </row>
    <row r="327" spans="1:9" x14ac:dyDescent="0.2">
      <c r="A327">
        <v>175</v>
      </c>
      <c r="B327">
        <v>645.53</v>
      </c>
      <c r="C327">
        <v>44247</v>
      </c>
      <c r="D327" t="s">
        <v>15</v>
      </c>
      <c r="E327" t="s">
        <v>11</v>
      </c>
      <c r="F327">
        <v>55</v>
      </c>
      <c r="G327">
        <v>0</v>
      </c>
      <c r="H327" t="str">
        <f>IF(ISBLANK(D327),IF(G327=1,VLOOKUP(E327,'Location Impute Tables'!$A$5:$J$9,10,0),VLOOKUP(E327,'Location Impute Tables'!$A$25:$J$29,10,0)),D327)</f>
        <v>New York</v>
      </c>
      <c r="I327">
        <f>IF(ISBLANK(B327),IF(G327=1,VLOOKUP(H327,'Amount Impute Table'!$A$5:$F$9,MATCH(fraud_data!E327,'Amount Impute Table'!$B$4:$F$4,0)+1,FALSE),VLOOKUP(H327,'Amount Impute Table'!$A$16:$F$20,MATCH(E327,'Amount Impute Table'!$B$15:$F$15,0)+1,0)),B327)</f>
        <v>645.53</v>
      </c>
    </row>
    <row r="328" spans="1:9" x14ac:dyDescent="0.2">
      <c r="A328">
        <v>174</v>
      </c>
      <c r="B328">
        <v>227.27</v>
      </c>
      <c r="C328">
        <v>67661</v>
      </c>
      <c r="D328" t="s">
        <v>9</v>
      </c>
      <c r="E328" t="s">
        <v>8</v>
      </c>
      <c r="F328">
        <v>71</v>
      </c>
      <c r="G328">
        <v>0</v>
      </c>
      <c r="H328" t="str">
        <f>IF(ISBLANK(D328),IF(G328=1,VLOOKUP(E328,'Location Impute Tables'!$A$5:$J$9,10,0),VLOOKUP(E328,'Location Impute Tables'!$A$25:$J$29,10,0)),D328)</f>
        <v>Los Angeles</v>
      </c>
      <c r="I328">
        <f>IF(ISBLANK(B328),IF(G328=1,VLOOKUP(H328,'Amount Impute Table'!$A$5:$F$9,MATCH(fraud_data!E328,'Amount Impute Table'!$B$4:$F$4,0)+1,FALSE),VLOOKUP(H328,'Amount Impute Table'!$A$16:$F$20,MATCH(E328,'Amount Impute Table'!$B$15:$F$15,0)+1,0)),B328)</f>
        <v>227.27</v>
      </c>
    </row>
    <row r="329" spans="1:9" x14ac:dyDescent="0.2">
      <c r="A329">
        <v>173</v>
      </c>
      <c r="B329">
        <v>512.58000000000004</v>
      </c>
      <c r="C329">
        <v>73686</v>
      </c>
      <c r="D329" t="s">
        <v>15</v>
      </c>
      <c r="E329" t="s">
        <v>16</v>
      </c>
      <c r="F329">
        <v>38</v>
      </c>
      <c r="G329">
        <v>0</v>
      </c>
      <c r="H329" t="str">
        <f>IF(ISBLANK(D329),IF(G329=1,VLOOKUP(E329,'Location Impute Tables'!$A$5:$J$9,10,0),VLOOKUP(E329,'Location Impute Tables'!$A$25:$J$29,10,0)),D329)</f>
        <v>New York</v>
      </c>
      <c r="I329">
        <f>IF(ISBLANK(B329),IF(G329=1,VLOOKUP(H329,'Amount Impute Table'!$A$5:$F$9,MATCH(fraud_data!E329,'Amount Impute Table'!$B$4:$F$4,0)+1,FALSE),VLOOKUP(H329,'Amount Impute Table'!$A$16:$F$20,MATCH(E329,'Amount Impute Table'!$B$15:$F$15,0)+1,0)),B329)</f>
        <v>512.58000000000004</v>
      </c>
    </row>
    <row r="330" spans="1:9" x14ac:dyDescent="0.2">
      <c r="A330">
        <v>172</v>
      </c>
      <c r="B330">
        <v>17.57</v>
      </c>
      <c r="C330">
        <v>28699</v>
      </c>
      <c r="D330" t="s">
        <v>10</v>
      </c>
      <c r="E330" t="s">
        <v>16</v>
      </c>
      <c r="F330">
        <v>44</v>
      </c>
      <c r="G330">
        <v>0</v>
      </c>
      <c r="H330" t="str">
        <f>IF(ISBLANK(D330),IF(G330=1,VLOOKUP(E330,'Location Impute Tables'!$A$5:$J$9,10,0),VLOOKUP(E330,'Location Impute Tables'!$A$25:$J$29,10,0)),D330)</f>
        <v>Miami</v>
      </c>
      <c r="I330">
        <f>IF(ISBLANK(B330),IF(G330=1,VLOOKUP(H330,'Amount Impute Table'!$A$5:$F$9,MATCH(fraud_data!E330,'Amount Impute Table'!$B$4:$F$4,0)+1,FALSE),VLOOKUP(H330,'Amount Impute Table'!$A$16:$F$20,MATCH(E330,'Amount Impute Table'!$B$15:$F$15,0)+1,0)),B330)</f>
        <v>17.57</v>
      </c>
    </row>
    <row r="331" spans="1:9" x14ac:dyDescent="0.2">
      <c r="A331">
        <v>171</v>
      </c>
      <c r="B331">
        <v>677.89</v>
      </c>
      <c r="C331">
        <v>8717</v>
      </c>
      <c r="D331" t="s">
        <v>15</v>
      </c>
      <c r="E331" t="s">
        <v>8</v>
      </c>
      <c r="F331">
        <v>79</v>
      </c>
      <c r="G331">
        <v>0</v>
      </c>
      <c r="H331" t="str">
        <f>IF(ISBLANK(D331),IF(G331=1,VLOOKUP(E331,'Location Impute Tables'!$A$5:$J$9,10,0),VLOOKUP(E331,'Location Impute Tables'!$A$25:$J$29,10,0)),D331)</f>
        <v>New York</v>
      </c>
      <c r="I331">
        <f>IF(ISBLANK(B331),IF(G331=1,VLOOKUP(H331,'Amount Impute Table'!$A$5:$F$9,MATCH(fraud_data!E331,'Amount Impute Table'!$B$4:$F$4,0)+1,FALSE),VLOOKUP(H331,'Amount Impute Table'!$A$16:$F$20,MATCH(E331,'Amount Impute Table'!$B$15:$F$15,0)+1,0)),B331)</f>
        <v>677.89</v>
      </c>
    </row>
    <row r="332" spans="1:9" x14ac:dyDescent="0.2">
      <c r="A332">
        <v>170</v>
      </c>
      <c r="B332">
        <v>591.29999999999995</v>
      </c>
      <c r="C332">
        <v>55</v>
      </c>
      <c r="D332" t="s">
        <v>10</v>
      </c>
      <c r="E332" t="s">
        <v>8</v>
      </c>
      <c r="F332">
        <v>19</v>
      </c>
      <c r="G332">
        <v>0</v>
      </c>
      <c r="H332" t="str">
        <f>IF(ISBLANK(D332),IF(G332=1,VLOOKUP(E332,'Location Impute Tables'!$A$5:$J$9,10,0),VLOOKUP(E332,'Location Impute Tables'!$A$25:$J$29,10,0)),D332)</f>
        <v>Miami</v>
      </c>
      <c r="I332">
        <f>IF(ISBLANK(B332),IF(G332=1,VLOOKUP(H332,'Amount Impute Table'!$A$5:$F$9,MATCH(fraud_data!E332,'Amount Impute Table'!$B$4:$F$4,0)+1,FALSE),VLOOKUP(H332,'Amount Impute Table'!$A$16:$F$20,MATCH(E332,'Amount Impute Table'!$B$15:$F$15,0)+1,0)),B332)</f>
        <v>591.29999999999995</v>
      </c>
    </row>
    <row r="333" spans="1:9" x14ac:dyDescent="0.2">
      <c r="A333">
        <v>169</v>
      </c>
      <c r="B333">
        <v>41.73</v>
      </c>
      <c r="C333">
        <v>82558</v>
      </c>
      <c r="D333" t="s">
        <v>7</v>
      </c>
      <c r="E333" t="s">
        <v>16</v>
      </c>
      <c r="F333">
        <v>72</v>
      </c>
      <c r="G333">
        <v>0</v>
      </c>
      <c r="H333" t="str">
        <f>IF(ISBLANK(D333),IF(G333=1,VLOOKUP(E333,'Location Impute Tables'!$A$5:$J$9,10,0),VLOOKUP(E333,'Location Impute Tables'!$A$25:$J$29,10,0)),D333)</f>
        <v>Chicago</v>
      </c>
      <c r="I333">
        <f>IF(ISBLANK(B333),IF(G333=1,VLOOKUP(H333,'Amount Impute Table'!$A$5:$F$9,MATCH(fraud_data!E333,'Amount Impute Table'!$B$4:$F$4,0)+1,FALSE),VLOOKUP(H333,'Amount Impute Table'!$A$16:$F$20,MATCH(E333,'Amount Impute Table'!$B$15:$F$15,0)+1,0)),B333)</f>
        <v>41.73</v>
      </c>
    </row>
    <row r="334" spans="1:9" x14ac:dyDescent="0.2">
      <c r="A334">
        <v>168</v>
      </c>
      <c r="B334">
        <v>187.33</v>
      </c>
      <c r="C334">
        <v>302</v>
      </c>
      <c r="D334" t="s">
        <v>13</v>
      </c>
      <c r="E334" t="s">
        <v>11</v>
      </c>
      <c r="F334">
        <v>79</v>
      </c>
      <c r="G334">
        <v>0</v>
      </c>
      <c r="H334" t="str">
        <f>IF(ISBLANK(D334),IF(G334=1,VLOOKUP(E334,'Location Impute Tables'!$A$5:$J$9,10,0),VLOOKUP(E334,'Location Impute Tables'!$A$25:$J$29,10,0)),D334)</f>
        <v>Houston</v>
      </c>
      <c r="I334">
        <f>IF(ISBLANK(B334),IF(G334=1,VLOOKUP(H334,'Amount Impute Table'!$A$5:$F$9,MATCH(fraud_data!E334,'Amount Impute Table'!$B$4:$F$4,0)+1,FALSE),VLOOKUP(H334,'Amount Impute Table'!$A$16:$F$20,MATCH(E334,'Amount Impute Table'!$B$15:$F$15,0)+1,0)),B334)</f>
        <v>187.33</v>
      </c>
    </row>
    <row r="335" spans="1:9" x14ac:dyDescent="0.2">
      <c r="A335">
        <v>167</v>
      </c>
      <c r="B335">
        <v>321.45999999999998</v>
      </c>
      <c r="C335">
        <v>50428</v>
      </c>
      <c r="D335" t="s">
        <v>15</v>
      </c>
      <c r="E335" t="s">
        <v>16</v>
      </c>
      <c r="F335">
        <v>22</v>
      </c>
      <c r="G335">
        <v>0</v>
      </c>
      <c r="H335" t="str">
        <f>IF(ISBLANK(D335),IF(G335=1,VLOOKUP(E335,'Location Impute Tables'!$A$5:$J$9,10,0),VLOOKUP(E335,'Location Impute Tables'!$A$25:$J$29,10,0)),D335)</f>
        <v>New York</v>
      </c>
      <c r="I335">
        <f>IF(ISBLANK(B335),IF(G335=1,VLOOKUP(H335,'Amount Impute Table'!$A$5:$F$9,MATCH(fraud_data!E335,'Amount Impute Table'!$B$4:$F$4,0)+1,FALSE),VLOOKUP(H335,'Amount Impute Table'!$A$16:$F$20,MATCH(E335,'Amount Impute Table'!$B$15:$F$15,0)+1,0)),B335)</f>
        <v>321.45999999999998</v>
      </c>
    </row>
    <row r="336" spans="1:9" x14ac:dyDescent="0.2">
      <c r="A336">
        <v>166</v>
      </c>
      <c r="B336">
        <v>835.47</v>
      </c>
      <c r="C336">
        <v>79714</v>
      </c>
      <c r="D336" t="s">
        <v>15</v>
      </c>
      <c r="E336" t="s">
        <v>14</v>
      </c>
      <c r="F336">
        <v>39</v>
      </c>
      <c r="G336">
        <v>0</v>
      </c>
      <c r="H336" t="str">
        <f>IF(ISBLANK(D336),IF(G336=1,VLOOKUP(E336,'Location Impute Tables'!$A$5:$J$9,10,0),VLOOKUP(E336,'Location Impute Tables'!$A$25:$J$29,10,0)),D336)</f>
        <v>New York</v>
      </c>
      <c r="I336">
        <f>IF(ISBLANK(B336),IF(G336=1,VLOOKUP(H336,'Amount Impute Table'!$A$5:$F$9,MATCH(fraud_data!E336,'Amount Impute Table'!$B$4:$F$4,0)+1,FALSE),VLOOKUP(H336,'Amount Impute Table'!$A$16:$F$20,MATCH(E336,'Amount Impute Table'!$B$15:$F$15,0)+1,0)),B336)</f>
        <v>835.47</v>
      </c>
    </row>
    <row r="337" spans="1:9" x14ac:dyDescent="0.2">
      <c r="A337">
        <v>165</v>
      </c>
      <c r="B337">
        <v>91.2</v>
      </c>
      <c r="C337">
        <v>59399</v>
      </c>
      <c r="D337" t="s">
        <v>9</v>
      </c>
      <c r="E337" t="s">
        <v>8</v>
      </c>
      <c r="F337">
        <v>78</v>
      </c>
      <c r="G337">
        <v>0</v>
      </c>
      <c r="H337" t="str">
        <f>IF(ISBLANK(D337),IF(G337=1,VLOOKUP(E337,'Location Impute Tables'!$A$5:$J$9,10,0),VLOOKUP(E337,'Location Impute Tables'!$A$25:$J$29,10,0)),D337)</f>
        <v>Los Angeles</v>
      </c>
      <c r="I337">
        <f>IF(ISBLANK(B337),IF(G337=1,VLOOKUP(H337,'Amount Impute Table'!$A$5:$F$9,MATCH(fraud_data!E337,'Amount Impute Table'!$B$4:$F$4,0)+1,FALSE),VLOOKUP(H337,'Amount Impute Table'!$A$16:$F$20,MATCH(E337,'Amount Impute Table'!$B$15:$F$15,0)+1,0)),B337)</f>
        <v>91.2</v>
      </c>
    </row>
    <row r="338" spans="1:9" x14ac:dyDescent="0.2">
      <c r="A338">
        <v>164</v>
      </c>
      <c r="B338">
        <v>536.24</v>
      </c>
      <c r="C338">
        <v>79104</v>
      </c>
      <c r="D338" t="s">
        <v>15</v>
      </c>
      <c r="E338" t="s">
        <v>8</v>
      </c>
      <c r="F338">
        <v>54</v>
      </c>
      <c r="G338">
        <v>0</v>
      </c>
      <c r="H338" t="str">
        <f>IF(ISBLANK(D338),IF(G338=1,VLOOKUP(E338,'Location Impute Tables'!$A$5:$J$9,10,0),VLOOKUP(E338,'Location Impute Tables'!$A$25:$J$29,10,0)),D338)</f>
        <v>New York</v>
      </c>
      <c r="I338">
        <f>IF(ISBLANK(B338),IF(G338=1,VLOOKUP(H338,'Amount Impute Table'!$A$5:$F$9,MATCH(fraud_data!E338,'Amount Impute Table'!$B$4:$F$4,0)+1,FALSE),VLOOKUP(H338,'Amount Impute Table'!$A$16:$F$20,MATCH(E338,'Amount Impute Table'!$B$15:$F$15,0)+1,0)),B338)</f>
        <v>536.24</v>
      </c>
    </row>
    <row r="339" spans="1:9" x14ac:dyDescent="0.2">
      <c r="A339">
        <v>163</v>
      </c>
      <c r="B339">
        <v>633.9</v>
      </c>
      <c r="C339">
        <v>64291</v>
      </c>
      <c r="D339" t="s">
        <v>10</v>
      </c>
      <c r="E339" t="s">
        <v>16</v>
      </c>
      <c r="F339">
        <v>24</v>
      </c>
      <c r="G339">
        <v>0</v>
      </c>
      <c r="H339" t="str">
        <f>IF(ISBLANK(D339),IF(G339=1,VLOOKUP(E339,'Location Impute Tables'!$A$5:$J$9,10,0),VLOOKUP(E339,'Location Impute Tables'!$A$25:$J$29,10,0)),D339)</f>
        <v>Miami</v>
      </c>
      <c r="I339">
        <f>IF(ISBLANK(B339),IF(G339=1,VLOOKUP(H339,'Amount Impute Table'!$A$5:$F$9,MATCH(fraud_data!E339,'Amount Impute Table'!$B$4:$F$4,0)+1,FALSE),VLOOKUP(H339,'Amount Impute Table'!$A$16:$F$20,MATCH(E339,'Amount Impute Table'!$B$15:$F$15,0)+1,0)),B339)</f>
        <v>633.9</v>
      </c>
    </row>
    <row r="340" spans="1:9" x14ac:dyDescent="0.2">
      <c r="A340">
        <v>162</v>
      </c>
      <c r="B340">
        <v>632.66999999999996</v>
      </c>
      <c r="C340">
        <v>4432</v>
      </c>
      <c r="D340" t="s">
        <v>15</v>
      </c>
      <c r="E340" t="s">
        <v>12</v>
      </c>
      <c r="F340">
        <v>31</v>
      </c>
      <c r="G340">
        <v>0</v>
      </c>
      <c r="H340" t="str">
        <f>IF(ISBLANK(D340),IF(G340=1,VLOOKUP(E340,'Location Impute Tables'!$A$5:$J$9,10,0),VLOOKUP(E340,'Location Impute Tables'!$A$25:$J$29,10,0)),D340)</f>
        <v>New York</v>
      </c>
      <c r="I340">
        <f>IF(ISBLANK(B340),IF(G340=1,VLOOKUP(H340,'Amount Impute Table'!$A$5:$F$9,MATCH(fraud_data!E340,'Amount Impute Table'!$B$4:$F$4,0)+1,FALSE),VLOOKUP(H340,'Amount Impute Table'!$A$16:$F$20,MATCH(E340,'Amount Impute Table'!$B$15:$F$15,0)+1,0)),B340)</f>
        <v>632.66999999999996</v>
      </c>
    </row>
    <row r="341" spans="1:9" x14ac:dyDescent="0.2">
      <c r="A341">
        <v>161</v>
      </c>
      <c r="B341">
        <v>368.42</v>
      </c>
      <c r="C341">
        <v>52796</v>
      </c>
      <c r="D341" t="s">
        <v>7</v>
      </c>
      <c r="E341" t="s">
        <v>14</v>
      </c>
      <c r="F341">
        <v>39</v>
      </c>
      <c r="G341">
        <v>0</v>
      </c>
      <c r="H341" t="str">
        <f>IF(ISBLANK(D341),IF(G341=1,VLOOKUP(E341,'Location Impute Tables'!$A$5:$J$9,10,0),VLOOKUP(E341,'Location Impute Tables'!$A$25:$J$29,10,0)),D341)</f>
        <v>Chicago</v>
      </c>
      <c r="I341">
        <f>IF(ISBLANK(B341),IF(G341=1,VLOOKUP(H341,'Amount Impute Table'!$A$5:$F$9,MATCH(fraud_data!E341,'Amount Impute Table'!$B$4:$F$4,0)+1,FALSE),VLOOKUP(H341,'Amount Impute Table'!$A$16:$F$20,MATCH(E341,'Amount Impute Table'!$B$15:$F$15,0)+1,0)),B341)</f>
        <v>368.42</v>
      </c>
    </row>
    <row r="342" spans="1:9" x14ac:dyDescent="0.2">
      <c r="A342">
        <v>160</v>
      </c>
      <c r="B342">
        <v>728.49</v>
      </c>
      <c r="C342">
        <v>19262</v>
      </c>
      <c r="D342" t="s">
        <v>7</v>
      </c>
      <c r="E342" t="s">
        <v>12</v>
      </c>
      <c r="F342">
        <v>45</v>
      </c>
      <c r="G342">
        <v>0</v>
      </c>
      <c r="H342" t="str">
        <f>IF(ISBLANK(D342),IF(G342=1,VLOOKUP(E342,'Location Impute Tables'!$A$5:$J$9,10,0),VLOOKUP(E342,'Location Impute Tables'!$A$25:$J$29,10,0)),D342)</f>
        <v>Chicago</v>
      </c>
      <c r="I342">
        <f>IF(ISBLANK(B342),IF(G342=1,VLOOKUP(H342,'Amount Impute Table'!$A$5:$F$9,MATCH(fraud_data!E342,'Amount Impute Table'!$B$4:$F$4,0)+1,FALSE),VLOOKUP(H342,'Amount Impute Table'!$A$16:$F$20,MATCH(E342,'Amount Impute Table'!$B$15:$F$15,0)+1,0)),B342)</f>
        <v>728.49</v>
      </c>
    </row>
    <row r="343" spans="1:9" x14ac:dyDescent="0.2">
      <c r="A343">
        <v>159</v>
      </c>
      <c r="B343">
        <v>238.4</v>
      </c>
      <c r="C343">
        <v>55645</v>
      </c>
      <c r="D343" t="s">
        <v>13</v>
      </c>
      <c r="E343" t="s">
        <v>11</v>
      </c>
      <c r="F343">
        <v>44</v>
      </c>
      <c r="G343">
        <v>0</v>
      </c>
      <c r="H343" t="str">
        <f>IF(ISBLANK(D343),IF(G343=1,VLOOKUP(E343,'Location Impute Tables'!$A$5:$J$9,10,0),VLOOKUP(E343,'Location Impute Tables'!$A$25:$J$29,10,0)),D343)</f>
        <v>Houston</v>
      </c>
      <c r="I343">
        <f>IF(ISBLANK(B343),IF(G343=1,VLOOKUP(H343,'Amount Impute Table'!$A$5:$F$9,MATCH(fraud_data!E343,'Amount Impute Table'!$B$4:$F$4,0)+1,FALSE),VLOOKUP(H343,'Amount Impute Table'!$A$16:$F$20,MATCH(E343,'Amount Impute Table'!$B$15:$F$15,0)+1,0)),B343)</f>
        <v>238.4</v>
      </c>
    </row>
    <row r="344" spans="1:9" x14ac:dyDescent="0.2">
      <c r="A344">
        <v>158</v>
      </c>
      <c r="B344">
        <v>761.86</v>
      </c>
      <c r="C344">
        <v>10478</v>
      </c>
      <c r="D344" t="s">
        <v>10</v>
      </c>
      <c r="E344" t="s">
        <v>12</v>
      </c>
      <c r="F344">
        <v>24</v>
      </c>
      <c r="G344">
        <v>0</v>
      </c>
      <c r="H344" t="str">
        <f>IF(ISBLANK(D344),IF(G344=1,VLOOKUP(E344,'Location Impute Tables'!$A$5:$J$9,10,0),VLOOKUP(E344,'Location Impute Tables'!$A$25:$J$29,10,0)),D344)</f>
        <v>Miami</v>
      </c>
      <c r="I344">
        <f>IF(ISBLANK(B344),IF(G344=1,VLOOKUP(H344,'Amount Impute Table'!$A$5:$F$9,MATCH(fraud_data!E344,'Amount Impute Table'!$B$4:$F$4,0)+1,FALSE),VLOOKUP(H344,'Amount Impute Table'!$A$16:$F$20,MATCH(E344,'Amount Impute Table'!$B$15:$F$15,0)+1,0)),B344)</f>
        <v>761.86</v>
      </c>
    </row>
    <row r="345" spans="1:9" x14ac:dyDescent="0.2">
      <c r="A345">
        <v>157</v>
      </c>
      <c r="B345">
        <v>672.46</v>
      </c>
      <c r="C345">
        <v>43221</v>
      </c>
      <c r="D345" t="s">
        <v>7</v>
      </c>
      <c r="E345" t="s">
        <v>11</v>
      </c>
      <c r="F345">
        <v>52</v>
      </c>
      <c r="G345">
        <v>0</v>
      </c>
      <c r="H345" t="str">
        <f>IF(ISBLANK(D345),IF(G345=1,VLOOKUP(E345,'Location Impute Tables'!$A$5:$J$9,10,0),VLOOKUP(E345,'Location Impute Tables'!$A$25:$J$29,10,0)),D345)</f>
        <v>Chicago</v>
      </c>
      <c r="I345">
        <f>IF(ISBLANK(B345),IF(G345=1,VLOOKUP(H345,'Amount Impute Table'!$A$5:$F$9,MATCH(fraud_data!E345,'Amount Impute Table'!$B$4:$F$4,0)+1,FALSE),VLOOKUP(H345,'Amount Impute Table'!$A$16:$F$20,MATCH(E345,'Amount Impute Table'!$B$15:$F$15,0)+1,0)),B345)</f>
        <v>672.46</v>
      </c>
    </row>
    <row r="346" spans="1:9" x14ac:dyDescent="0.2">
      <c r="A346">
        <v>156</v>
      </c>
      <c r="B346">
        <v>242.81</v>
      </c>
      <c r="C346">
        <v>5240</v>
      </c>
      <c r="D346" t="s">
        <v>13</v>
      </c>
      <c r="E346" t="s">
        <v>14</v>
      </c>
      <c r="F346">
        <v>78</v>
      </c>
      <c r="G346">
        <v>0</v>
      </c>
      <c r="H346" t="str">
        <f>IF(ISBLANK(D346),IF(G346=1,VLOOKUP(E346,'Location Impute Tables'!$A$5:$J$9,10,0),VLOOKUP(E346,'Location Impute Tables'!$A$25:$J$29,10,0)),D346)</f>
        <v>Houston</v>
      </c>
      <c r="I346">
        <f>IF(ISBLANK(B346),IF(G346=1,VLOOKUP(H346,'Amount Impute Table'!$A$5:$F$9,MATCH(fraud_data!E346,'Amount Impute Table'!$B$4:$F$4,0)+1,FALSE),VLOOKUP(H346,'Amount Impute Table'!$A$16:$F$20,MATCH(E346,'Amount Impute Table'!$B$15:$F$15,0)+1,0)),B346)</f>
        <v>242.81</v>
      </c>
    </row>
    <row r="347" spans="1:9" x14ac:dyDescent="0.2">
      <c r="A347">
        <v>155</v>
      </c>
      <c r="B347">
        <v>985.66</v>
      </c>
      <c r="C347">
        <v>22574</v>
      </c>
      <c r="D347" t="s">
        <v>9</v>
      </c>
      <c r="E347" t="s">
        <v>16</v>
      </c>
      <c r="F347">
        <v>79</v>
      </c>
      <c r="G347">
        <v>0</v>
      </c>
      <c r="H347" t="str">
        <f>IF(ISBLANK(D347),IF(G347=1,VLOOKUP(E347,'Location Impute Tables'!$A$5:$J$9,10,0),VLOOKUP(E347,'Location Impute Tables'!$A$25:$J$29,10,0)),D347)</f>
        <v>Los Angeles</v>
      </c>
      <c r="I347">
        <f>IF(ISBLANK(B347),IF(G347=1,VLOOKUP(H347,'Amount Impute Table'!$A$5:$F$9,MATCH(fraud_data!E347,'Amount Impute Table'!$B$4:$F$4,0)+1,FALSE),VLOOKUP(H347,'Amount Impute Table'!$A$16:$F$20,MATCH(E347,'Amount Impute Table'!$B$15:$F$15,0)+1,0)),B347)</f>
        <v>985.66</v>
      </c>
    </row>
    <row r="348" spans="1:9" x14ac:dyDescent="0.2">
      <c r="A348">
        <v>154</v>
      </c>
      <c r="B348">
        <v>489.96</v>
      </c>
      <c r="C348">
        <v>10488</v>
      </c>
      <c r="D348" t="s">
        <v>7</v>
      </c>
      <c r="E348" t="s">
        <v>16</v>
      </c>
      <c r="F348">
        <v>69</v>
      </c>
      <c r="G348">
        <v>0</v>
      </c>
      <c r="H348" t="str">
        <f>IF(ISBLANK(D348),IF(G348=1,VLOOKUP(E348,'Location Impute Tables'!$A$5:$J$9,10,0),VLOOKUP(E348,'Location Impute Tables'!$A$25:$J$29,10,0)),D348)</f>
        <v>Chicago</v>
      </c>
      <c r="I348">
        <f>IF(ISBLANK(B348),IF(G348=1,VLOOKUP(H348,'Amount Impute Table'!$A$5:$F$9,MATCH(fraud_data!E348,'Amount Impute Table'!$B$4:$F$4,0)+1,FALSE),VLOOKUP(H348,'Amount Impute Table'!$A$16:$F$20,MATCH(E348,'Amount Impute Table'!$B$15:$F$15,0)+1,0)),B348)</f>
        <v>489.96</v>
      </c>
    </row>
    <row r="349" spans="1:9" x14ac:dyDescent="0.2">
      <c r="A349">
        <v>153</v>
      </c>
      <c r="C349">
        <v>23321</v>
      </c>
      <c r="D349" t="s">
        <v>13</v>
      </c>
      <c r="E349" t="s">
        <v>8</v>
      </c>
      <c r="F349">
        <v>54</v>
      </c>
      <c r="G349">
        <v>0</v>
      </c>
      <c r="H349" t="str">
        <f>IF(ISBLANK(D349),IF(G349=1,VLOOKUP(E349,'Location Impute Tables'!$A$5:$J$9,10,0),VLOOKUP(E349,'Location Impute Tables'!$A$25:$J$29,10,0)),D349)</f>
        <v>Houston</v>
      </c>
      <c r="I349">
        <f>IF(ISBLANK(B349),IF(G349=1,VLOOKUP(H349,'Amount Impute Table'!$A$5:$F$9,MATCH(fraud_data!E349,'Amount Impute Table'!$B$4:$F$4,0)+1,FALSE),VLOOKUP(H349,'Amount Impute Table'!$A$16:$F$20,MATCH(E349,'Amount Impute Table'!$B$15:$F$15,0)+1,0)),B349)</f>
        <v>344.73066666666659</v>
      </c>
    </row>
    <row r="350" spans="1:9" x14ac:dyDescent="0.2">
      <c r="A350">
        <v>152</v>
      </c>
      <c r="B350">
        <v>240.32</v>
      </c>
      <c r="C350">
        <v>23624</v>
      </c>
      <c r="D350" t="s">
        <v>13</v>
      </c>
      <c r="E350" t="s">
        <v>14</v>
      </c>
      <c r="F350">
        <v>67</v>
      </c>
      <c r="G350">
        <v>0</v>
      </c>
      <c r="H350" t="str">
        <f>IF(ISBLANK(D350),IF(G350=1,VLOOKUP(E350,'Location Impute Tables'!$A$5:$J$9,10,0),VLOOKUP(E350,'Location Impute Tables'!$A$25:$J$29,10,0)),D350)</f>
        <v>Houston</v>
      </c>
      <c r="I350">
        <f>IF(ISBLANK(B350),IF(G350=1,VLOOKUP(H350,'Amount Impute Table'!$A$5:$F$9,MATCH(fraud_data!E350,'Amount Impute Table'!$B$4:$F$4,0)+1,FALSE),VLOOKUP(H350,'Amount Impute Table'!$A$16:$F$20,MATCH(E350,'Amount Impute Table'!$B$15:$F$15,0)+1,0)),B350)</f>
        <v>240.32</v>
      </c>
    </row>
    <row r="351" spans="1:9" x14ac:dyDescent="0.2">
      <c r="A351">
        <v>151</v>
      </c>
      <c r="B351">
        <v>908.36</v>
      </c>
      <c r="C351">
        <v>81818</v>
      </c>
      <c r="D351" t="s">
        <v>10</v>
      </c>
      <c r="E351" t="s">
        <v>14</v>
      </c>
      <c r="F351">
        <v>56</v>
      </c>
      <c r="G351">
        <v>0</v>
      </c>
      <c r="H351" t="str">
        <f>IF(ISBLANK(D351),IF(G351=1,VLOOKUP(E351,'Location Impute Tables'!$A$5:$J$9,10,0),VLOOKUP(E351,'Location Impute Tables'!$A$25:$J$29,10,0)),D351)</f>
        <v>Miami</v>
      </c>
      <c r="I351">
        <f>IF(ISBLANK(B351),IF(G351=1,VLOOKUP(H351,'Amount Impute Table'!$A$5:$F$9,MATCH(fraud_data!E351,'Amount Impute Table'!$B$4:$F$4,0)+1,FALSE),VLOOKUP(H351,'Amount Impute Table'!$A$16:$F$20,MATCH(E351,'Amount Impute Table'!$B$15:$F$15,0)+1,0)),B351)</f>
        <v>908.36</v>
      </c>
    </row>
    <row r="352" spans="1:9" x14ac:dyDescent="0.2">
      <c r="A352">
        <v>150</v>
      </c>
      <c r="B352">
        <v>279.37</v>
      </c>
      <c r="C352">
        <v>51745</v>
      </c>
      <c r="D352" t="s">
        <v>9</v>
      </c>
      <c r="E352" t="s">
        <v>11</v>
      </c>
      <c r="F352">
        <v>55</v>
      </c>
      <c r="G352">
        <v>0</v>
      </c>
      <c r="H352" t="str">
        <f>IF(ISBLANK(D352),IF(G352=1,VLOOKUP(E352,'Location Impute Tables'!$A$5:$J$9,10,0),VLOOKUP(E352,'Location Impute Tables'!$A$25:$J$29,10,0)),D352)</f>
        <v>Los Angeles</v>
      </c>
      <c r="I352">
        <f>IF(ISBLANK(B352),IF(G352=1,VLOOKUP(H352,'Amount Impute Table'!$A$5:$F$9,MATCH(fraud_data!E352,'Amount Impute Table'!$B$4:$F$4,0)+1,FALSE),VLOOKUP(H352,'Amount Impute Table'!$A$16:$F$20,MATCH(E352,'Amount Impute Table'!$B$15:$F$15,0)+1,0)),B352)</f>
        <v>279.37</v>
      </c>
    </row>
    <row r="353" spans="1:9" x14ac:dyDescent="0.2">
      <c r="A353">
        <v>149</v>
      </c>
      <c r="B353">
        <v>52.43</v>
      </c>
      <c r="C353">
        <v>18777</v>
      </c>
      <c r="D353" t="s">
        <v>7</v>
      </c>
      <c r="E353" t="s">
        <v>12</v>
      </c>
      <c r="F353">
        <v>77</v>
      </c>
      <c r="G353">
        <v>1</v>
      </c>
      <c r="H353" t="str">
        <f>IF(ISBLANK(D353),IF(G353=1,VLOOKUP(E353,'Location Impute Tables'!$A$5:$J$9,10,0),VLOOKUP(E353,'Location Impute Tables'!$A$25:$J$29,10,0)),D353)</f>
        <v>Chicago</v>
      </c>
      <c r="I353">
        <f>IF(ISBLANK(B353),IF(G353=1,VLOOKUP(H353,'Amount Impute Table'!$A$5:$F$9,MATCH(fraud_data!E353,'Amount Impute Table'!$B$4:$F$4,0)+1,FALSE),VLOOKUP(H353,'Amount Impute Table'!$A$16:$F$20,MATCH(E353,'Amount Impute Table'!$B$15:$F$15,0)+1,0)),B353)</f>
        <v>52.43</v>
      </c>
    </row>
    <row r="354" spans="1:9" x14ac:dyDescent="0.2">
      <c r="A354">
        <v>148</v>
      </c>
      <c r="B354">
        <v>503.18</v>
      </c>
      <c r="C354">
        <v>16907</v>
      </c>
      <c r="D354" t="s">
        <v>7</v>
      </c>
      <c r="E354" t="s">
        <v>16</v>
      </c>
      <c r="F354">
        <v>53</v>
      </c>
      <c r="G354">
        <v>0</v>
      </c>
      <c r="H354" t="str">
        <f>IF(ISBLANK(D354),IF(G354=1,VLOOKUP(E354,'Location Impute Tables'!$A$5:$J$9,10,0),VLOOKUP(E354,'Location Impute Tables'!$A$25:$J$29,10,0)),D354)</f>
        <v>Chicago</v>
      </c>
      <c r="I354">
        <f>IF(ISBLANK(B354),IF(G354=1,VLOOKUP(H354,'Amount Impute Table'!$A$5:$F$9,MATCH(fraud_data!E354,'Amount Impute Table'!$B$4:$F$4,0)+1,FALSE),VLOOKUP(H354,'Amount Impute Table'!$A$16:$F$20,MATCH(E354,'Amount Impute Table'!$B$15:$F$15,0)+1,0)),B354)</f>
        <v>503.18</v>
      </c>
    </row>
    <row r="355" spans="1:9" x14ac:dyDescent="0.2">
      <c r="A355">
        <v>147</v>
      </c>
      <c r="B355">
        <v>609.95000000000005</v>
      </c>
      <c r="C355">
        <v>39749</v>
      </c>
      <c r="D355" t="s">
        <v>15</v>
      </c>
      <c r="E355" t="s">
        <v>8</v>
      </c>
      <c r="F355">
        <v>69</v>
      </c>
      <c r="G355">
        <v>0</v>
      </c>
      <c r="H355" t="str">
        <f>IF(ISBLANK(D355),IF(G355=1,VLOOKUP(E355,'Location Impute Tables'!$A$5:$J$9,10,0),VLOOKUP(E355,'Location Impute Tables'!$A$25:$J$29,10,0)),D355)</f>
        <v>New York</v>
      </c>
      <c r="I355">
        <f>IF(ISBLANK(B355),IF(G355=1,VLOOKUP(H355,'Amount Impute Table'!$A$5:$F$9,MATCH(fraud_data!E355,'Amount Impute Table'!$B$4:$F$4,0)+1,FALSE),VLOOKUP(H355,'Amount Impute Table'!$A$16:$F$20,MATCH(E355,'Amount Impute Table'!$B$15:$F$15,0)+1,0)),B355)</f>
        <v>609.95000000000005</v>
      </c>
    </row>
    <row r="356" spans="1:9" x14ac:dyDescent="0.2">
      <c r="A356">
        <v>146</v>
      </c>
      <c r="B356">
        <v>37.85</v>
      </c>
      <c r="C356">
        <v>79252</v>
      </c>
      <c r="D356" t="s">
        <v>9</v>
      </c>
      <c r="E356" t="s">
        <v>8</v>
      </c>
      <c r="F356">
        <v>46</v>
      </c>
      <c r="G356">
        <v>0</v>
      </c>
      <c r="H356" t="str">
        <f>IF(ISBLANK(D356),IF(G356=1,VLOOKUP(E356,'Location Impute Tables'!$A$5:$J$9,10,0),VLOOKUP(E356,'Location Impute Tables'!$A$25:$J$29,10,0)),D356)</f>
        <v>Los Angeles</v>
      </c>
      <c r="I356">
        <f>IF(ISBLANK(B356),IF(G356=1,VLOOKUP(H356,'Amount Impute Table'!$A$5:$F$9,MATCH(fraud_data!E356,'Amount Impute Table'!$B$4:$F$4,0)+1,FALSE),VLOOKUP(H356,'Amount Impute Table'!$A$16:$F$20,MATCH(E356,'Amount Impute Table'!$B$15:$F$15,0)+1,0)),B356)</f>
        <v>37.85</v>
      </c>
    </row>
    <row r="357" spans="1:9" x14ac:dyDescent="0.2">
      <c r="A357">
        <v>145</v>
      </c>
      <c r="B357">
        <v>285.56</v>
      </c>
      <c r="C357">
        <v>23061</v>
      </c>
      <c r="D357" t="s">
        <v>7</v>
      </c>
      <c r="E357" t="s">
        <v>11</v>
      </c>
      <c r="F357">
        <v>69</v>
      </c>
      <c r="G357">
        <v>0</v>
      </c>
      <c r="H357" t="str">
        <f>IF(ISBLANK(D357),IF(G357=1,VLOOKUP(E357,'Location Impute Tables'!$A$5:$J$9,10,0),VLOOKUP(E357,'Location Impute Tables'!$A$25:$J$29,10,0)),D357)</f>
        <v>Chicago</v>
      </c>
      <c r="I357">
        <f>IF(ISBLANK(B357),IF(G357=1,VLOOKUP(H357,'Amount Impute Table'!$A$5:$F$9,MATCH(fraud_data!E357,'Amount Impute Table'!$B$4:$F$4,0)+1,FALSE),VLOOKUP(H357,'Amount Impute Table'!$A$16:$F$20,MATCH(E357,'Amount Impute Table'!$B$15:$F$15,0)+1,0)),B357)</f>
        <v>285.56</v>
      </c>
    </row>
    <row r="358" spans="1:9" x14ac:dyDescent="0.2">
      <c r="A358">
        <v>144</v>
      </c>
      <c r="B358">
        <v>301.58</v>
      </c>
      <c r="C358">
        <v>36668</v>
      </c>
      <c r="D358" t="s">
        <v>10</v>
      </c>
      <c r="E358" t="s">
        <v>8</v>
      </c>
      <c r="F358">
        <v>77</v>
      </c>
      <c r="G358">
        <v>0</v>
      </c>
      <c r="H358" t="str">
        <f>IF(ISBLANK(D358),IF(G358=1,VLOOKUP(E358,'Location Impute Tables'!$A$5:$J$9,10,0),VLOOKUP(E358,'Location Impute Tables'!$A$25:$J$29,10,0)),D358)</f>
        <v>Miami</v>
      </c>
      <c r="I358">
        <f>IF(ISBLANK(B358),IF(G358=1,VLOOKUP(H358,'Amount Impute Table'!$A$5:$F$9,MATCH(fraud_data!E358,'Amount Impute Table'!$B$4:$F$4,0)+1,FALSE),VLOOKUP(H358,'Amount Impute Table'!$A$16:$F$20,MATCH(E358,'Amount Impute Table'!$B$15:$F$15,0)+1,0)),B358)</f>
        <v>301.58</v>
      </c>
    </row>
    <row r="359" spans="1:9" x14ac:dyDescent="0.2">
      <c r="A359">
        <v>143</v>
      </c>
      <c r="B359">
        <v>497.75</v>
      </c>
      <c r="C359">
        <v>57108</v>
      </c>
      <c r="E359" t="s">
        <v>12</v>
      </c>
      <c r="F359">
        <v>56</v>
      </c>
      <c r="G359">
        <v>0</v>
      </c>
      <c r="H359" t="str">
        <f>IF(ISBLANK(D359),IF(G359=1,VLOOKUP(E359,'Location Impute Tables'!$A$5:$J$9,10,0),VLOOKUP(E359,'Location Impute Tables'!$A$25:$J$29,10,0)),D359)</f>
        <v>Miami</v>
      </c>
      <c r="I359">
        <f>IF(ISBLANK(B359),IF(G359=1,VLOOKUP(H359,'Amount Impute Table'!$A$5:$F$9,MATCH(fraud_data!E359,'Amount Impute Table'!$B$4:$F$4,0)+1,FALSE),VLOOKUP(H359,'Amount Impute Table'!$A$16:$F$20,MATCH(E359,'Amount Impute Table'!$B$15:$F$15,0)+1,0)),B359)</f>
        <v>497.75</v>
      </c>
    </row>
    <row r="360" spans="1:9" x14ac:dyDescent="0.2">
      <c r="A360">
        <v>142</v>
      </c>
      <c r="B360">
        <v>252.53</v>
      </c>
      <c r="C360">
        <v>23954</v>
      </c>
      <c r="E360" t="s">
        <v>16</v>
      </c>
      <c r="F360">
        <v>54</v>
      </c>
      <c r="G360">
        <v>0</v>
      </c>
      <c r="H360" t="str">
        <f>IF(ISBLANK(D360),IF(G360=1,VLOOKUP(E360,'Location Impute Tables'!$A$5:$J$9,10,0),VLOOKUP(E360,'Location Impute Tables'!$A$25:$J$29,10,0)),D360)</f>
        <v>Los Angeles</v>
      </c>
      <c r="I360">
        <f>IF(ISBLANK(B360),IF(G360=1,VLOOKUP(H360,'Amount Impute Table'!$A$5:$F$9,MATCH(fraud_data!E360,'Amount Impute Table'!$B$4:$F$4,0)+1,FALSE),VLOOKUP(H360,'Amount Impute Table'!$A$16:$F$20,MATCH(E360,'Amount Impute Table'!$B$15:$F$15,0)+1,0)),B360)</f>
        <v>252.53</v>
      </c>
    </row>
    <row r="361" spans="1:9" x14ac:dyDescent="0.2">
      <c r="A361">
        <v>141</v>
      </c>
      <c r="B361">
        <v>962.48</v>
      </c>
      <c r="C361">
        <v>11314</v>
      </c>
      <c r="D361" t="s">
        <v>15</v>
      </c>
      <c r="E361" t="s">
        <v>8</v>
      </c>
      <c r="F361">
        <v>34</v>
      </c>
      <c r="G361">
        <v>0</v>
      </c>
      <c r="H361" t="str">
        <f>IF(ISBLANK(D361),IF(G361=1,VLOOKUP(E361,'Location Impute Tables'!$A$5:$J$9,10,0),VLOOKUP(E361,'Location Impute Tables'!$A$25:$J$29,10,0)),D361)</f>
        <v>New York</v>
      </c>
      <c r="I361">
        <f>IF(ISBLANK(B361),IF(G361=1,VLOOKUP(H361,'Amount Impute Table'!$A$5:$F$9,MATCH(fraud_data!E361,'Amount Impute Table'!$B$4:$F$4,0)+1,FALSE),VLOOKUP(H361,'Amount Impute Table'!$A$16:$F$20,MATCH(E361,'Amount Impute Table'!$B$15:$F$15,0)+1,0)),B361)</f>
        <v>962.48</v>
      </c>
    </row>
    <row r="362" spans="1:9" x14ac:dyDescent="0.2">
      <c r="A362">
        <v>140</v>
      </c>
      <c r="B362">
        <v>971.81</v>
      </c>
      <c r="C362">
        <v>28732</v>
      </c>
      <c r="D362" t="s">
        <v>15</v>
      </c>
      <c r="E362" t="s">
        <v>14</v>
      </c>
      <c r="F362">
        <v>57</v>
      </c>
      <c r="G362">
        <v>0</v>
      </c>
      <c r="H362" t="str">
        <f>IF(ISBLANK(D362),IF(G362=1,VLOOKUP(E362,'Location Impute Tables'!$A$5:$J$9,10,0),VLOOKUP(E362,'Location Impute Tables'!$A$25:$J$29,10,0)),D362)</f>
        <v>New York</v>
      </c>
      <c r="I362">
        <f>IF(ISBLANK(B362),IF(G362=1,VLOOKUP(H362,'Amount Impute Table'!$A$5:$F$9,MATCH(fraud_data!E362,'Amount Impute Table'!$B$4:$F$4,0)+1,FALSE),VLOOKUP(H362,'Amount Impute Table'!$A$16:$F$20,MATCH(E362,'Amount Impute Table'!$B$15:$F$15,0)+1,0)),B362)</f>
        <v>971.81</v>
      </c>
    </row>
    <row r="363" spans="1:9" x14ac:dyDescent="0.2">
      <c r="A363">
        <v>139</v>
      </c>
      <c r="B363">
        <v>364.27</v>
      </c>
      <c r="C363">
        <v>75697</v>
      </c>
      <c r="D363" t="s">
        <v>15</v>
      </c>
      <c r="E363" t="s">
        <v>16</v>
      </c>
      <c r="F363">
        <v>56</v>
      </c>
      <c r="G363">
        <v>0</v>
      </c>
      <c r="H363" t="str">
        <f>IF(ISBLANK(D363),IF(G363=1,VLOOKUP(E363,'Location Impute Tables'!$A$5:$J$9,10,0),VLOOKUP(E363,'Location Impute Tables'!$A$25:$J$29,10,0)),D363)</f>
        <v>New York</v>
      </c>
      <c r="I363">
        <f>IF(ISBLANK(B363),IF(G363=1,VLOOKUP(H363,'Amount Impute Table'!$A$5:$F$9,MATCH(fraud_data!E363,'Amount Impute Table'!$B$4:$F$4,0)+1,FALSE),VLOOKUP(H363,'Amount Impute Table'!$A$16:$F$20,MATCH(E363,'Amount Impute Table'!$B$15:$F$15,0)+1,0)),B363)</f>
        <v>364.27</v>
      </c>
    </row>
    <row r="364" spans="1:9" x14ac:dyDescent="0.2">
      <c r="A364">
        <v>138</v>
      </c>
      <c r="B364">
        <v>703.32</v>
      </c>
      <c r="C364">
        <v>69724</v>
      </c>
      <c r="D364" t="s">
        <v>10</v>
      </c>
      <c r="E364" t="s">
        <v>8</v>
      </c>
      <c r="F364">
        <v>21</v>
      </c>
      <c r="G364">
        <v>0</v>
      </c>
      <c r="H364" t="str">
        <f>IF(ISBLANK(D364),IF(G364=1,VLOOKUP(E364,'Location Impute Tables'!$A$5:$J$9,10,0),VLOOKUP(E364,'Location Impute Tables'!$A$25:$J$29,10,0)),D364)</f>
        <v>Miami</v>
      </c>
      <c r="I364">
        <f>IF(ISBLANK(B364),IF(G364=1,VLOOKUP(H364,'Amount Impute Table'!$A$5:$F$9,MATCH(fraud_data!E364,'Amount Impute Table'!$B$4:$F$4,0)+1,FALSE),VLOOKUP(H364,'Amount Impute Table'!$A$16:$F$20,MATCH(E364,'Amount Impute Table'!$B$15:$F$15,0)+1,0)),B364)</f>
        <v>703.32</v>
      </c>
    </row>
    <row r="365" spans="1:9" x14ac:dyDescent="0.2">
      <c r="A365">
        <v>137</v>
      </c>
      <c r="B365">
        <v>519.27</v>
      </c>
      <c r="C365">
        <v>33434</v>
      </c>
      <c r="D365" t="s">
        <v>9</v>
      </c>
      <c r="E365" t="s">
        <v>14</v>
      </c>
      <c r="F365">
        <v>21</v>
      </c>
      <c r="G365">
        <v>0</v>
      </c>
      <c r="H365" t="str">
        <f>IF(ISBLANK(D365),IF(G365=1,VLOOKUP(E365,'Location Impute Tables'!$A$5:$J$9,10,0),VLOOKUP(E365,'Location Impute Tables'!$A$25:$J$29,10,0)),D365)</f>
        <v>Los Angeles</v>
      </c>
      <c r="I365">
        <f>IF(ISBLANK(B365),IF(G365=1,VLOOKUP(H365,'Amount Impute Table'!$A$5:$F$9,MATCH(fraud_data!E365,'Amount Impute Table'!$B$4:$F$4,0)+1,FALSE),VLOOKUP(H365,'Amount Impute Table'!$A$16:$F$20,MATCH(E365,'Amount Impute Table'!$B$15:$F$15,0)+1,0)),B365)</f>
        <v>519.27</v>
      </c>
    </row>
    <row r="366" spans="1:9" x14ac:dyDescent="0.2">
      <c r="A366">
        <v>136</v>
      </c>
      <c r="B366">
        <v>323.88</v>
      </c>
      <c r="C366">
        <v>83807</v>
      </c>
      <c r="D366" t="s">
        <v>9</v>
      </c>
      <c r="E366" t="s">
        <v>14</v>
      </c>
      <c r="F366">
        <v>50</v>
      </c>
      <c r="G366">
        <v>0</v>
      </c>
      <c r="H366" t="str">
        <f>IF(ISBLANK(D366),IF(G366=1,VLOOKUP(E366,'Location Impute Tables'!$A$5:$J$9,10,0),VLOOKUP(E366,'Location Impute Tables'!$A$25:$J$29,10,0)),D366)</f>
        <v>Los Angeles</v>
      </c>
      <c r="I366">
        <f>IF(ISBLANK(B366),IF(G366=1,VLOOKUP(H366,'Amount Impute Table'!$A$5:$F$9,MATCH(fraud_data!E366,'Amount Impute Table'!$B$4:$F$4,0)+1,FALSE),VLOOKUP(H366,'Amount Impute Table'!$A$16:$F$20,MATCH(E366,'Amount Impute Table'!$B$15:$F$15,0)+1,0)),B366)</f>
        <v>323.88</v>
      </c>
    </row>
    <row r="367" spans="1:9" x14ac:dyDescent="0.2">
      <c r="A367">
        <v>135</v>
      </c>
      <c r="B367">
        <v>942.97</v>
      </c>
      <c r="C367">
        <v>41240</v>
      </c>
      <c r="D367" t="s">
        <v>15</v>
      </c>
      <c r="E367" t="s">
        <v>14</v>
      </c>
      <c r="F367">
        <v>77</v>
      </c>
      <c r="G367">
        <v>0</v>
      </c>
      <c r="H367" t="str">
        <f>IF(ISBLANK(D367),IF(G367=1,VLOOKUP(E367,'Location Impute Tables'!$A$5:$J$9,10,0),VLOOKUP(E367,'Location Impute Tables'!$A$25:$J$29,10,0)),D367)</f>
        <v>New York</v>
      </c>
      <c r="I367">
        <f>IF(ISBLANK(B367),IF(G367=1,VLOOKUP(H367,'Amount Impute Table'!$A$5:$F$9,MATCH(fraud_data!E367,'Amount Impute Table'!$B$4:$F$4,0)+1,FALSE),VLOOKUP(H367,'Amount Impute Table'!$A$16:$F$20,MATCH(E367,'Amount Impute Table'!$B$15:$F$15,0)+1,0)),B367)</f>
        <v>942.97</v>
      </c>
    </row>
    <row r="368" spans="1:9" x14ac:dyDescent="0.2">
      <c r="A368">
        <v>134</v>
      </c>
      <c r="B368">
        <v>338.28</v>
      </c>
      <c r="C368">
        <v>58243</v>
      </c>
      <c r="D368" t="s">
        <v>9</v>
      </c>
      <c r="E368" t="s">
        <v>12</v>
      </c>
      <c r="F368">
        <v>33</v>
      </c>
      <c r="G368">
        <v>0</v>
      </c>
      <c r="H368" t="str">
        <f>IF(ISBLANK(D368),IF(G368=1,VLOOKUP(E368,'Location Impute Tables'!$A$5:$J$9,10,0),VLOOKUP(E368,'Location Impute Tables'!$A$25:$J$29,10,0)),D368)</f>
        <v>Los Angeles</v>
      </c>
      <c r="I368">
        <f>IF(ISBLANK(B368),IF(G368=1,VLOOKUP(H368,'Amount Impute Table'!$A$5:$F$9,MATCH(fraud_data!E368,'Amount Impute Table'!$B$4:$F$4,0)+1,FALSE),VLOOKUP(H368,'Amount Impute Table'!$A$16:$F$20,MATCH(E368,'Amount Impute Table'!$B$15:$F$15,0)+1,0)),B368)</f>
        <v>338.28</v>
      </c>
    </row>
    <row r="369" spans="1:9" x14ac:dyDescent="0.2">
      <c r="A369">
        <v>133</v>
      </c>
      <c r="B369">
        <v>120.75</v>
      </c>
      <c r="C369">
        <v>24071</v>
      </c>
      <c r="D369" t="s">
        <v>7</v>
      </c>
      <c r="E369" t="s">
        <v>16</v>
      </c>
      <c r="F369">
        <v>33</v>
      </c>
      <c r="G369">
        <v>0</v>
      </c>
      <c r="H369" t="str">
        <f>IF(ISBLANK(D369),IF(G369=1,VLOOKUP(E369,'Location Impute Tables'!$A$5:$J$9,10,0),VLOOKUP(E369,'Location Impute Tables'!$A$25:$J$29,10,0)),D369)</f>
        <v>Chicago</v>
      </c>
      <c r="I369">
        <f>IF(ISBLANK(B369),IF(G369=1,VLOOKUP(H369,'Amount Impute Table'!$A$5:$F$9,MATCH(fraud_data!E369,'Amount Impute Table'!$B$4:$F$4,0)+1,FALSE),VLOOKUP(H369,'Amount Impute Table'!$A$16:$F$20,MATCH(E369,'Amount Impute Table'!$B$15:$F$15,0)+1,0)),B369)</f>
        <v>120.75</v>
      </c>
    </row>
    <row r="370" spans="1:9" x14ac:dyDescent="0.2">
      <c r="A370">
        <v>132</v>
      </c>
      <c r="B370">
        <v>222.89</v>
      </c>
      <c r="C370">
        <v>22415</v>
      </c>
      <c r="D370" t="s">
        <v>10</v>
      </c>
      <c r="E370" t="s">
        <v>12</v>
      </c>
      <c r="F370">
        <v>24</v>
      </c>
      <c r="G370">
        <v>0</v>
      </c>
      <c r="H370" t="str">
        <f>IF(ISBLANK(D370),IF(G370=1,VLOOKUP(E370,'Location Impute Tables'!$A$5:$J$9,10,0),VLOOKUP(E370,'Location Impute Tables'!$A$25:$J$29,10,0)),D370)</f>
        <v>Miami</v>
      </c>
      <c r="I370">
        <f>IF(ISBLANK(B370),IF(G370=1,VLOOKUP(H370,'Amount Impute Table'!$A$5:$F$9,MATCH(fraud_data!E370,'Amount Impute Table'!$B$4:$F$4,0)+1,FALSE),VLOOKUP(H370,'Amount Impute Table'!$A$16:$F$20,MATCH(E370,'Amount Impute Table'!$B$15:$F$15,0)+1,0)),B370)</f>
        <v>222.89</v>
      </c>
    </row>
    <row r="371" spans="1:9" x14ac:dyDescent="0.2">
      <c r="A371">
        <v>131</v>
      </c>
      <c r="B371">
        <v>417.99</v>
      </c>
      <c r="C371">
        <v>11637</v>
      </c>
      <c r="D371" t="s">
        <v>7</v>
      </c>
      <c r="E371" t="s">
        <v>16</v>
      </c>
      <c r="F371">
        <v>68</v>
      </c>
      <c r="G371">
        <v>0</v>
      </c>
      <c r="H371" t="str">
        <f>IF(ISBLANK(D371),IF(G371=1,VLOOKUP(E371,'Location Impute Tables'!$A$5:$J$9,10,0),VLOOKUP(E371,'Location Impute Tables'!$A$25:$J$29,10,0)),D371)</f>
        <v>Chicago</v>
      </c>
      <c r="I371">
        <f>IF(ISBLANK(B371),IF(G371=1,VLOOKUP(H371,'Amount Impute Table'!$A$5:$F$9,MATCH(fraud_data!E371,'Amount Impute Table'!$B$4:$F$4,0)+1,FALSE),VLOOKUP(H371,'Amount Impute Table'!$A$16:$F$20,MATCH(E371,'Amount Impute Table'!$B$15:$F$15,0)+1,0)),B371)</f>
        <v>417.99</v>
      </c>
    </row>
    <row r="372" spans="1:9" x14ac:dyDescent="0.2">
      <c r="A372">
        <v>130</v>
      </c>
      <c r="B372">
        <v>511.24</v>
      </c>
      <c r="C372">
        <v>6090</v>
      </c>
      <c r="E372" t="s">
        <v>12</v>
      </c>
      <c r="F372">
        <v>63</v>
      </c>
      <c r="G372">
        <v>0</v>
      </c>
      <c r="H372" t="str">
        <f>IF(ISBLANK(D372),IF(G372=1,VLOOKUP(E372,'Location Impute Tables'!$A$5:$J$9,10,0),VLOOKUP(E372,'Location Impute Tables'!$A$25:$J$29,10,0)),D372)</f>
        <v>Miami</v>
      </c>
      <c r="I372">
        <f>IF(ISBLANK(B372),IF(G372=1,VLOOKUP(H372,'Amount Impute Table'!$A$5:$F$9,MATCH(fraud_data!E372,'Amount Impute Table'!$B$4:$F$4,0)+1,FALSE),VLOOKUP(H372,'Amount Impute Table'!$A$16:$F$20,MATCH(E372,'Amount Impute Table'!$B$15:$F$15,0)+1,0)),B372)</f>
        <v>511.24</v>
      </c>
    </row>
    <row r="373" spans="1:9" x14ac:dyDescent="0.2">
      <c r="A373">
        <v>129</v>
      </c>
      <c r="C373">
        <v>71774</v>
      </c>
      <c r="D373" t="s">
        <v>7</v>
      </c>
      <c r="E373" t="s">
        <v>11</v>
      </c>
      <c r="F373">
        <v>79</v>
      </c>
      <c r="G373">
        <v>0</v>
      </c>
      <c r="H373" t="str">
        <f>IF(ISBLANK(D373),IF(G373=1,VLOOKUP(E373,'Location Impute Tables'!$A$5:$J$9,10,0),VLOOKUP(E373,'Location Impute Tables'!$A$25:$J$29,10,0)),D373)</f>
        <v>Chicago</v>
      </c>
      <c r="I373">
        <f>IF(ISBLANK(B373),IF(G373=1,VLOOKUP(H373,'Amount Impute Table'!$A$5:$F$9,MATCH(fraud_data!E373,'Amount Impute Table'!$B$4:$F$4,0)+1,FALSE),VLOOKUP(H373,'Amount Impute Table'!$A$16:$F$20,MATCH(E373,'Amount Impute Table'!$B$15:$F$15,0)+1,0)),B373)</f>
        <v>1308.6254845888443</v>
      </c>
    </row>
    <row r="374" spans="1:9" x14ac:dyDescent="0.2">
      <c r="A374">
        <v>128</v>
      </c>
      <c r="B374">
        <v>860.87</v>
      </c>
      <c r="C374">
        <v>80719</v>
      </c>
      <c r="D374" t="s">
        <v>13</v>
      </c>
      <c r="E374" t="s">
        <v>8</v>
      </c>
      <c r="F374">
        <v>45</v>
      </c>
      <c r="G374">
        <v>1</v>
      </c>
      <c r="H374" t="str">
        <f>IF(ISBLANK(D374),IF(G374=1,VLOOKUP(E374,'Location Impute Tables'!$A$5:$J$9,10,0),VLOOKUP(E374,'Location Impute Tables'!$A$25:$J$29,10,0)),D374)</f>
        <v>Houston</v>
      </c>
      <c r="I374">
        <f>IF(ISBLANK(B374),IF(G374=1,VLOOKUP(H374,'Amount Impute Table'!$A$5:$F$9,MATCH(fraud_data!E374,'Amount Impute Table'!$B$4:$F$4,0)+1,FALSE),VLOOKUP(H374,'Amount Impute Table'!$A$16:$F$20,MATCH(E374,'Amount Impute Table'!$B$15:$F$15,0)+1,0)),B374)</f>
        <v>860.87</v>
      </c>
    </row>
    <row r="375" spans="1:9" x14ac:dyDescent="0.2">
      <c r="A375">
        <v>127</v>
      </c>
      <c r="B375">
        <v>818.2</v>
      </c>
      <c r="C375">
        <v>24214</v>
      </c>
      <c r="D375" t="s">
        <v>7</v>
      </c>
      <c r="E375" t="s">
        <v>14</v>
      </c>
      <c r="F375">
        <v>26</v>
      </c>
      <c r="G375">
        <v>0</v>
      </c>
      <c r="H375" t="str">
        <f>IF(ISBLANK(D375),IF(G375=1,VLOOKUP(E375,'Location Impute Tables'!$A$5:$J$9,10,0),VLOOKUP(E375,'Location Impute Tables'!$A$25:$J$29,10,0)),D375)</f>
        <v>Chicago</v>
      </c>
      <c r="I375">
        <f>IF(ISBLANK(B375),IF(G375=1,VLOOKUP(H375,'Amount Impute Table'!$A$5:$F$9,MATCH(fraud_data!E375,'Amount Impute Table'!$B$4:$F$4,0)+1,FALSE),VLOOKUP(H375,'Amount Impute Table'!$A$16:$F$20,MATCH(E375,'Amount Impute Table'!$B$15:$F$15,0)+1,0)),B375)</f>
        <v>818.2</v>
      </c>
    </row>
    <row r="376" spans="1:9" x14ac:dyDescent="0.2">
      <c r="A376">
        <v>126</v>
      </c>
      <c r="B376">
        <v>427.68</v>
      </c>
      <c r="C376">
        <v>17144</v>
      </c>
      <c r="D376" t="s">
        <v>7</v>
      </c>
      <c r="E376" t="s">
        <v>12</v>
      </c>
      <c r="F376">
        <v>38</v>
      </c>
      <c r="G376">
        <v>0</v>
      </c>
      <c r="H376" t="str">
        <f>IF(ISBLANK(D376),IF(G376=1,VLOOKUP(E376,'Location Impute Tables'!$A$5:$J$9,10,0),VLOOKUP(E376,'Location Impute Tables'!$A$25:$J$29,10,0)),D376)</f>
        <v>Chicago</v>
      </c>
      <c r="I376">
        <f>IF(ISBLANK(B376),IF(G376=1,VLOOKUP(H376,'Amount Impute Table'!$A$5:$F$9,MATCH(fraud_data!E376,'Amount Impute Table'!$B$4:$F$4,0)+1,FALSE),VLOOKUP(H376,'Amount Impute Table'!$A$16:$F$20,MATCH(E376,'Amount Impute Table'!$B$15:$F$15,0)+1,0)),B376)</f>
        <v>427.68</v>
      </c>
    </row>
    <row r="377" spans="1:9" x14ac:dyDescent="0.2">
      <c r="A377">
        <v>125</v>
      </c>
      <c r="B377">
        <v>228.71</v>
      </c>
      <c r="C377">
        <v>6254</v>
      </c>
      <c r="D377" t="s">
        <v>13</v>
      </c>
      <c r="E377" t="s">
        <v>14</v>
      </c>
      <c r="F377">
        <v>52</v>
      </c>
      <c r="G377">
        <v>0</v>
      </c>
      <c r="H377" t="str">
        <f>IF(ISBLANK(D377),IF(G377=1,VLOOKUP(E377,'Location Impute Tables'!$A$5:$J$9,10,0),VLOOKUP(E377,'Location Impute Tables'!$A$25:$J$29,10,0)),D377)</f>
        <v>Houston</v>
      </c>
      <c r="I377">
        <f>IF(ISBLANK(B377),IF(G377=1,VLOOKUP(H377,'Amount Impute Table'!$A$5:$F$9,MATCH(fraud_data!E377,'Amount Impute Table'!$B$4:$F$4,0)+1,FALSE),VLOOKUP(H377,'Amount Impute Table'!$A$16:$F$20,MATCH(E377,'Amount Impute Table'!$B$15:$F$15,0)+1,0)),B377)</f>
        <v>228.71</v>
      </c>
    </row>
    <row r="378" spans="1:9" x14ac:dyDescent="0.2">
      <c r="A378">
        <v>124</v>
      </c>
      <c r="B378">
        <v>8694.3333856651607</v>
      </c>
      <c r="C378">
        <v>45002</v>
      </c>
      <c r="D378" t="s">
        <v>13</v>
      </c>
      <c r="E378" t="s">
        <v>11</v>
      </c>
      <c r="F378">
        <v>26</v>
      </c>
      <c r="G378">
        <v>0</v>
      </c>
      <c r="H378" t="str">
        <f>IF(ISBLANK(D378),IF(G378=1,VLOOKUP(E378,'Location Impute Tables'!$A$5:$J$9,10,0),VLOOKUP(E378,'Location Impute Tables'!$A$25:$J$29,10,0)),D378)</f>
        <v>Houston</v>
      </c>
      <c r="I378">
        <f>IF(ISBLANK(B378),IF(G378=1,VLOOKUP(H378,'Amount Impute Table'!$A$5:$F$9,MATCH(fraud_data!E378,'Amount Impute Table'!$B$4:$F$4,0)+1,FALSE),VLOOKUP(H378,'Amount Impute Table'!$A$16:$F$20,MATCH(E378,'Amount Impute Table'!$B$15:$F$15,0)+1,0)),B378)</f>
        <v>8694.3333856651607</v>
      </c>
    </row>
    <row r="379" spans="1:9" x14ac:dyDescent="0.2">
      <c r="A379">
        <v>123</v>
      </c>
      <c r="B379">
        <v>318.69</v>
      </c>
      <c r="C379">
        <v>12015</v>
      </c>
      <c r="D379" t="s">
        <v>9</v>
      </c>
      <c r="E379" t="s">
        <v>16</v>
      </c>
      <c r="F379">
        <v>36</v>
      </c>
      <c r="G379">
        <v>0</v>
      </c>
      <c r="H379" t="str">
        <f>IF(ISBLANK(D379),IF(G379=1,VLOOKUP(E379,'Location Impute Tables'!$A$5:$J$9,10,0),VLOOKUP(E379,'Location Impute Tables'!$A$25:$J$29,10,0)),D379)</f>
        <v>Los Angeles</v>
      </c>
      <c r="I379">
        <f>IF(ISBLANK(B379),IF(G379=1,VLOOKUP(H379,'Amount Impute Table'!$A$5:$F$9,MATCH(fraud_data!E379,'Amount Impute Table'!$B$4:$F$4,0)+1,FALSE),VLOOKUP(H379,'Amount Impute Table'!$A$16:$F$20,MATCH(E379,'Amount Impute Table'!$B$15:$F$15,0)+1,0)),B379)</f>
        <v>318.69</v>
      </c>
    </row>
    <row r="380" spans="1:9" x14ac:dyDescent="0.2">
      <c r="A380">
        <v>122</v>
      </c>
      <c r="B380">
        <v>896.2</v>
      </c>
      <c r="C380">
        <v>36586</v>
      </c>
      <c r="D380" t="s">
        <v>15</v>
      </c>
      <c r="E380" t="s">
        <v>14</v>
      </c>
      <c r="F380">
        <v>40</v>
      </c>
      <c r="G380">
        <v>0</v>
      </c>
      <c r="H380" t="str">
        <f>IF(ISBLANK(D380),IF(G380=1,VLOOKUP(E380,'Location Impute Tables'!$A$5:$J$9,10,0),VLOOKUP(E380,'Location Impute Tables'!$A$25:$J$29,10,0)),D380)</f>
        <v>New York</v>
      </c>
      <c r="I380">
        <f>IF(ISBLANK(B380),IF(G380=1,VLOOKUP(H380,'Amount Impute Table'!$A$5:$F$9,MATCH(fraud_data!E380,'Amount Impute Table'!$B$4:$F$4,0)+1,FALSE),VLOOKUP(H380,'Amount Impute Table'!$A$16:$F$20,MATCH(E380,'Amount Impute Table'!$B$15:$F$15,0)+1,0)),B380)</f>
        <v>896.2</v>
      </c>
    </row>
    <row r="381" spans="1:9" x14ac:dyDescent="0.2">
      <c r="A381">
        <v>121</v>
      </c>
      <c r="B381">
        <v>7839.8714865804004</v>
      </c>
      <c r="C381">
        <v>69836</v>
      </c>
      <c r="D381" t="s">
        <v>10</v>
      </c>
      <c r="E381" t="s">
        <v>12</v>
      </c>
      <c r="F381">
        <v>26</v>
      </c>
      <c r="G381">
        <v>0</v>
      </c>
      <c r="H381" t="str">
        <f>IF(ISBLANK(D381),IF(G381=1,VLOOKUP(E381,'Location Impute Tables'!$A$5:$J$9,10,0),VLOOKUP(E381,'Location Impute Tables'!$A$25:$J$29,10,0)),D381)</f>
        <v>Miami</v>
      </c>
      <c r="I381">
        <f>IF(ISBLANK(B381),IF(G381=1,VLOOKUP(H381,'Amount Impute Table'!$A$5:$F$9,MATCH(fraud_data!E381,'Amount Impute Table'!$B$4:$F$4,0)+1,FALSE),VLOOKUP(H381,'Amount Impute Table'!$A$16:$F$20,MATCH(E381,'Amount Impute Table'!$B$15:$F$15,0)+1,0)),B381)</f>
        <v>7839.8714865804004</v>
      </c>
    </row>
    <row r="382" spans="1:9" x14ac:dyDescent="0.2">
      <c r="A382">
        <v>120</v>
      </c>
      <c r="B382">
        <v>539.79999999999995</v>
      </c>
      <c r="C382">
        <v>5569</v>
      </c>
      <c r="D382" t="s">
        <v>9</v>
      </c>
      <c r="E382" t="s">
        <v>11</v>
      </c>
      <c r="F382">
        <v>32</v>
      </c>
      <c r="G382">
        <v>1</v>
      </c>
      <c r="H382" t="str">
        <f>IF(ISBLANK(D382),IF(G382=1,VLOOKUP(E382,'Location Impute Tables'!$A$5:$J$9,10,0),VLOOKUP(E382,'Location Impute Tables'!$A$25:$J$29,10,0)),D382)</f>
        <v>Los Angeles</v>
      </c>
      <c r="I382">
        <f>IF(ISBLANK(B382),IF(G382=1,VLOOKUP(H382,'Amount Impute Table'!$A$5:$F$9,MATCH(fraud_data!E382,'Amount Impute Table'!$B$4:$F$4,0)+1,FALSE),VLOOKUP(H382,'Amount Impute Table'!$A$16:$F$20,MATCH(E382,'Amount Impute Table'!$B$15:$F$15,0)+1,0)),B382)</f>
        <v>539.79999999999995</v>
      </c>
    </row>
    <row r="383" spans="1:9" x14ac:dyDescent="0.2">
      <c r="A383">
        <v>119</v>
      </c>
      <c r="B383">
        <v>892.67</v>
      </c>
      <c r="C383">
        <v>14388</v>
      </c>
      <c r="D383" t="s">
        <v>7</v>
      </c>
      <c r="E383" t="s">
        <v>11</v>
      </c>
      <c r="F383">
        <v>73</v>
      </c>
      <c r="G383">
        <v>0</v>
      </c>
      <c r="H383" t="str">
        <f>IF(ISBLANK(D383),IF(G383=1,VLOOKUP(E383,'Location Impute Tables'!$A$5:$J$9,10,0),VLOOKUP(E383,'Location Impute Tables'!$A$25:$J$29,10,0)),D383)</f>
        <v>Chicago</v>
      </c>
      <c r="I383">
        <f>IF(ISBLANK(B383),IF(G383=1,VLOOKUP(H383,'Amount Impute Table'!$A$5:$F$9,MATCH(fraud_data!E383,'Amount Impute Table'!$B$4:$F$4,0)+1,FALSE),VLOOKUP(H383,'Amount Impute Table'!$A$16:$F$20,MATCH(E383,'Amount Impute Table'!$B$15:$F$15,0)+1,0)),B383)</f>
        <v>892.67</v>
      </c>
    </row>
    <row r="384" spans="1:9" x14ac:dyDescent="0.2">
      <c r="A384">
        <v>118</v>
      </c>
      <c r="B384">
        <v>187.38</v>
      </c>
      <c r="C384">
        <v>73477</v>
      </c>
      <c r="D384" t="s">
        <v>7</v>
      </c>
      <c r="E384" t="s">
        <v>12</v>
      </c>
      <c r="F384">
        <v>48</v>
      </c>
      <c r="G384">
        <v>0</v>
      </c>
      <c r="H384" t="str">
        <f>IF(ISBLANK(D384),IF(G384=1,VLOOKUP(E384,'Location Impute Tables'!$A$5:$J$9,10,0),VLOOKUP(E384,'Location Impute Tables'!$A$25:$J$29,10,0)),D384)</f>
        <v>Chicago</v>
      </c>
      <c r="I384">
        <f>IF(ISBLANK(B384),IF(G384=1,VLOOKUP(H384,'Amount Impute Table'!$A$5:$F$9,MATCH(fraud_data!E384,'Amount Impute Table'!$B$4:$F$4,0)+1,FALSE),VLOOKUP(H384,'Amount Impute Table'!$A$16:$F$20,MATCH(E384,'Amount Impute Table'!$B$15:$F$15,0)+1,0)),B384)</f>
        <v>187.38</v>
      </c>
    </row>
    <row r="385" spans="1:9" x14ac:dyDescent="0.2">
      <c r="A385">
        <v>117</v>
      </c>
      <c r="B385">
        <v>803.87</v>
      </c>
      <c r="C385">
        <v>55123</v>
      </c>
      <c r="D385" t="s">
        <v>15</v>
      </c>
      <c r="E385" t="s">
        <v>16</v>
      </c>
      <c r="F385">
        <v>78</v>
      </c>
      <c r="G385">
        <v>0</v>
      </c>
      <c r="H385" t="str">
        <f>IF(ISBLANK(D385),IF(G385=1,VLOOKUP(E385,'Location Impute Tables'!$A$5:$J$9,10,0),VLOOKUP(E385,'Location Impute Tables'!$A$25:$J$29,10,0)),D385)</f>
        <v>New York</v>
      </c>
      <c r="I385">
        <f>IF(ISBLANK(B385),IF(G385=1,VLOOKUP(H385,'Amount Impute Table'!$A$5:$F$9,MATCH(fraud_data!E385,'Amount Impute Table'!$B$4:$F$4,0)+1,FALSE),VLOOKUP(H385,'Amount Impute Table'!$A$16:$F$20,MATCH(E385,'Amount Impute Table'!$B$15:$F$15,0)+1,0)),B385)</f>
        <v>803.87</v>
      </c>
    </row>
    <row r="386" spans="1:9" x14ac:dyDescent="0.2">
      <c r="A386">
        <v>116</v>
      </c>
      <c r="B386">
        <v>871.59</v>
      </c>
      <c r="C386">
        <v>19963</v>
      </c>
      <c r="D386" t="s">
        <v>13</v>
      </c>
      <c r="E386" t="s">
        <v>12</v>
      </c>
      <c r="F386">
        <v>67</v>
      </c>
      <c r="G386">
        <v>0</v>
      </c>
      <c r="H386" t="str">
        <f>IF(ISBLANK(D386),IF(G386=1,VLOOKUP(E386,'Location Impute Tables'!$A$5:$J$9,10,0),VLOOKUP(E386,'Location Impute Tables'!$A$25:$J$29,10,0)),D386)</f>
        <v>Houston</v>
      </c>
      <c r="I386">
        <f>IF(ISBLANK(B386),IF(G386=1,VLOOKUP(H386,'Amount Impute Table'!$A$5:$F$9,MATCH(fraud_data!E386,'Amount Impute Table'!$B$4:$F$4,0)+1,FALSE),VLOOKUP(H386,'Amount Impute Table'!$A$16:$F$20,MATCH(E386,'Amount Impute Table'!$B$15:$F$15,0)+1,0)),B386)</f>
        <v>871.59</v>
      </c>
    </row>
    <row r="387" spans="1:9" x14ac:dyDescent="0.2">
      <c r="A387">
        <v>115</v>
      </c>
      <c r="C387">
        <v>85392</v>
      </c>
      <c r="D387" t="s">
        <v>7</v>
      </c>
      <c r="E387" t="s">
        <v>12</v>
      </c>
      <c r="F387">
        <v>28</v>
      </c>
      <c r="G387">
        <v>0</v>
      </c>
      <c r="H387" t="str">
        <f>IF(ISBLANK(D387),IF(G387=1,VLOOKUP(E387,'Location Impute Tables'!$A$5:$J$9,10,0),VLOOKUP(E387,'Location Impute Tables'!$A$25:$J$29,10,0)),D387)</f>
        <v>Chicago</v>
      </c>
      <c r="I387">
        <f>IF(ISBLANK(B387),IF(G387=1,VLOOKUP(H387,'Amount Impute Table'!$A$5:$F$9,MATCH(fraud_data!E387,'Amount Impute Table'!$B$4:$F$4,0)+1,FALSE),VLOOKUP(H387,'Amount Impute Table'!$A$16:$F$20,MATCH(E387,'Amount Impute Table'!$B$15:$F$15,0)+1,0)),B387)</f>
        <v>463.83699999999999</v>
      </c>
    </row>
    <row r="388" spans="1:9" x14ac:dyDescent="0.2">
      <c r="A388">
        <v>114</v>
      </c>
      <c r="B388">
        <v>808.31</v>
      </c>
      <c r="C388">
        <v>55479</v>
      </c>
      <c r="D388" t="s">
        <v>7</v>
      </c>
      <c r="E388" t="s">
        <v>16</v>
      </c>
      <c r="F388">
        <v>79</v>
      </c>
      <c r="G388">
        <v>0</v>
      </c>
      <c r="H388" t="str">
        <f>IF(ISBLANK(D388),IF(G388=1,VLOOKUP(E388,'Location Impute Tables'!$A$5:$J$9,10,0),VLOOKUP(E388,'Location Impute Tables'!$A$25:$J$29,10,0)),D388)</f>
        <v>Chicago</v>
      </c>
      <c r="I388">
        <f>IF(ISBLANK(B388),IF(G388=1,VLOOKUP(H388,'Amount Impute Table'!$A$5:$F$9,MATCH(fraud_data!E388,'Amount Impute Table'!$B$4:$F$4,0)+1,FALSE),VLOOKUP(H388,'Amount Impute Table'!$A$16:$F$20,MATCH(E388,'Amount Impute Table'!$B$15:$F$15,0)+1,0)),B388)</f>
        <v>808.31</v>
      </c>
    </row>
    <row r="389" spans="1:9" x14ac:dyDescent="0.2">
      <c r="A389">
        <v>113</v>
      </c>
      <c r="B389">
        <v>929.77</v>
      </c>
      <c r="C389">
        <v>39811</v>
      </c>
      <c r="D389" t="s">
        <v>10</v>
      </c>
      <c r="E389" t="s">
        <v>12</v>
      </c>
      <c r="F389">
        <v>19</v>
      </c>
      <c r="G389">
        <v>1</v>
      </c>
      <c r="H389" t="str">
        <f>IF(ISBLANK(D389),IF(G389=1,VLOOKUP(E389,'Location Impute Tables'!$A$5:$J$9,10,0),VLOOKUP(E389,'Location Impute Tables'!$A$25:$J$29,10,0)),D389)</f>
        <v>Miami</v>
      </c>
      <c r="I389">
        <f>IF(ISBLANK(B389),IF(G389=1,VLOOKUP(H389,'Amount Impute Table'!$A$5:$F$9,MATCH(fraud_data!E389,'Amount Impute Table'!$B$4:$F$4,0)+1,FALSE),VLOOKUP(H389,'Amount Impute Table'!$A$16:$F$20,MATCH(E389,'Amount Impute Table'!$B$15:$F$15,0)+1,0)),B389)</f>
        <v>929.77</v>
      </c>
    </row>
    <row r="390" spans="1:9" x14ac:dyDescent="0.2">
      <c r="A390">
        <v>112</v>
      </c>
      <c r="B390">
        <v>162.06</v>
      </c>
      <c r="C390">
        <v>43088</v>
      </c>
      <c r="D390" t="s">
        <v>10</v>
      </c>
      <c r="E390" t="s">
        <v>14</v>
      </c>
      <c r="F390">
        <v>42</v>
      </c>
      <c r="G390">
        <v>0</v>
      </c>
      <c r="H390" t="str">
        <f>IF(ISBLANK(D390),IF(G390=1,VLOOKUP(E390,'Location Impute Tables'!$A$5:$J$9,10,0),VLOOKUP(E390,'Location Impute Tables'!$A$25:$J$29,10,0)),D390)</f>
        <v>Miami</v>
      </c>
      <c r="I390">
        <f>IF(ISBLANK(B390),IF(G390=1,VLOOKUP(H390,'Amount Impute Table'!$A$5:$F$9,MATCH(fraud_data!E390,'Amount Impute Table'!$B$4:$F$4,0)+1,FALSE),VLOOKUP(H390,'Amount Impute Table'!$A$16:$F$20,MATCH(E390,'Amount Impute Table'!$B$15:$F$15,0)+1,0)),B390)</f>
        <v>162.06</v>
      </c>
    </row>
    <row r="391" spans="1:9" x14ac:dyDescent="0.2">
      <c r="A391">
        <v>111</v>
      </c>
      <c r="B391">
        <v>290.45999999999998</v>
      </c>
      <c r="C391">
        <v>52329</v>
      </c>
      <c r="D391" t="s">
        <v>9</v>
      </c>
      <c r="E391" t="s">
        <v>12</v>
      </c>
      <c r="F391">
        <v>27</v>
      </c>
      <c r="G391">
        <v>0</v>
      </c>
      <c r="H391" t="str">
        <f>IF(ISBLANK(D391),IF(G391=1,VLOOKUP(E391,'Location Impute Tables'!$A$5:$J$9,10,0),VLOOKUP(E391,'Location Impute Tables'!$A$25:$J$29,10,0)),D391)</f>
        <v>Los Angeles</v>
      </c>
      <c r="I391">
        <f>IF(ISBLANK(B391),IF(G391=1,VLOOKUP(H391,'Amount Impute Table'!$A$5:$F$9,MATCH(fraud_data!E391,'Amount Impute Table'!$B$4:$F$4,0)+1,FALSE),VLOOKUP(H391,'Amount Impute Table'!$A$16:$F$20,MATCH(E391,'Amount Impute Table'!$B$15:$F$15,0)+1,0)),B391)</f>
        <v>290.45999999999998</v>
      </c>
    </row>
    <row r="392" spans="1:9" x14ac:dyDescent="0.2">
      <c r="A392">
        <v>110</v>
      </c>
      <c r="B392">
        <v>77.900000000000006</v>
      </c>
      <c r="C392">
        <v>70390</v>
      </c>
      <c r="D392" t="s">
        <v>7</v>
      </c>
      <c r="E392" t="s">
        <v>16</v>
      </c>
      <c r="F392">
        <v>51</v>
      </c>
      <c r="G392">
        <v>0</v>
      </c>
      <c r="H392" t="str">
        <f>IF(ISBLANK(D392),IF(G392=1,VLOOKUP(E392,'Location Impute Tables'!$A$5:$J$9,10,0),VLOOKUP(E392,'Location Impute Tables'!$A$25:$J$29,10,0)),D392)</f>
        <v>Chicago</v>
      </c>
      <c r="I392">
        <f>IF(ISBLANK(B392),IF(G392=1,VLOOKUP(H392,'Amount Impute Table'!$A$5:$F$9,MATCH(fraud_data!E392,'Amount Impute Table'!$B$4:$F$4,0)+1,FALSE),VLOOKUP(H392,'Amount Impute Table'!$A$16:$F$20,MATCH(E392,'Amount Impute Table'!$B$15:$F$15,0)+1,0)),B392)</f>
        <v>77.900000000000006</v>
      </c>
    </row>
    <row r="393" spans="1:9" x14ac:dyDescent="0.2">
      <c r="A393">
        <v>109</v>
      </c>
      <c r="B393">
        <v>229.57</v>
      </c>
      <c r="C393">
        <v>70173</v>
      </c>
      <c r="D393" t="s">
        <v>13</v>
      </c>
      <c r="E393" t="s">
        <v>8</v>
      </c>
      <c r="F393">
        <v>36</v>
      </c>
      <c r="G393">
        <v>0</v>
      </c>
      <c r="H393" t="str">
        <f>IF(ISBLANK(D393),IF(G393=1,VLOOKUP(E393,'Location Impute Tables'!$A$5:$J$9,10,0),VLOOKUP(E393,'Location Impute Tables'!$A$25:$J$29,10,0)),D393)</f>
        <v>Houston</v>
      </c>
      <c r="I393">
        <f>IF(ISBLANK(B393),IF(G393=1,VLOOKUP(H393,'Amount Impute Table'!$A$5:$F$9,MATCH(fraud_data!E393,'Amount Impute Table'!$B$4:$F$4,0)+1,FALSE),VLOOKUP(H393,'Amount Impute Table'!$A$16:$F$20,MATCH(E393,'Amount Impute Table'!$B$15:$F$15,0)+1,0)),B393)</f>
        <v>229.57</v>
      </c>
    </row>
    <row r="394" spans="1:9" x14ac:dyDescent="0.2">
      <c r="A394">
        <v>108</v>
      </c>
      <c r="B394">
        <v>755.8</v>
      </c>
      <c r="C394">
        <v>42318</v>
      </c>
      <c r="D394" t="s">
        <v>10</v>
      </c>
      <c r="E394" t="s">
        <v>11</v>
      </c>
      <c r="F394">
        <v>22</v>
      </c>
      <c r="G394">
        <v>0</v>
      </c>
      <c r="H394" t="str">
        <f>IF(ISBLANK(D394),IF(G394=1,VLOOKUP(E394,'Location Impute Tables'!$A$5:$J$9,10,0),VLOOKUP(E394,'Location Impute Tables'!$A$25:$J$29,10,0)),D394)</f>
        <v>Miami</v>
      </c>
      <c r="I394">
        <f>IF(ISBLANK(B394),IF(G394=1,VLOOKUP(H394,'Amount Impute Table'!$A$5:$F$9,MATCH(fraud_data!E394,'Amount Impute Table'!$B$4:$F$4,0)+1,FALSE),VLOOKUP(H394,'Amount Impute Table'!$A$16:$F$20,MATCH(E394,'Amount Impute Table'!$B$15:$F$15,0)+1,0)),B394)</f>
        <v>755.8</v>
      </c>
    </row>
    <row r="395" spans="1:9" x14ac:dyDescent="0.2">
      <c r="A395">
        <v>107</v>
      </c>
      <c r="B395">
        <v>410.97</v>
      </c>
      <c r="C395">
        <v>56800</v>
      </c>
      <c r="D395" t="s">
        <v>7</v>
      </c>
      <c r="E395" t="s">
        <v>8</v>
      </c>
      <c r="F395">
        <v>68</v>
      </c>
      <c r="G395">
        <v>0</v>
      </c>
      <c r="H395" t="str">
        <f>IF(ISBLANK(D395),IF(G395=1,VLOOKUP(E395,'Location Impute Tables'!$A$5:$J$9,10,0),VLOOKUP(E395,'Location Impute Tables'!$A$25:$J$29,10,0)),D395)</f>
        <v>Chicago</v>
      </c>
      <c r="I395">
        <f>IF(ISBLANK(B395),IF(G395=1,VLOOKUP(H395,'Amount Impute Table'!$A$5:$F$9,MATCH(fraud_data!E395,'Amount Impute Table'!$B$4:$F$4,0)+1,FALSE),VLOOKUP(H395,'Amount Impute Table'!$A$16:$F$20,MATCH(E395,'Amount Impute Table'!$B$15:$F$15,0)+1,0)),B395)</f>
        <v>410.97</v>
      </c>
    </row>
    <row r="396" spans="1:9" x14ac:dyDescent="0.2">
      <c r="A396">
        <v>106</v>
      </c>
      <c r="B396">
        <v>250.04</v>
      </c>
      <c r="C396">
        <v>53413</v>
      </c>
      <c r="D396" t="s">
        <v>15</v>
      </c>
      <c r="E396" t="s">
        <v>12</v>
      </c>
      <c r="F396">
        <v>48</v>
      </c>
      <c r="G396">
        <v>0</v>
      </c>
      <c r="H396" t="str">
        <f>IF(ISBLANK(D396),IF(G396=1,VLOOKUP(E396,'Location Impute Tables'!$A$5:$J$9,10,0),VLOOKUP(E396,'Location Impute Tables'!$A$25:$J$29,10,0)),D396)</f>
        <v>New York</v>
      </c>
      <c r="I396">
        <f>IF(ISBLANK(B396),IF(G396=1,VLOOKUP(H396,'Amount Impute Table'!$A$5:$F$9,MATCH(fraud_data!E396,'Amount Impute Table'!$B$4:$F$4,0)+1,FALSE),VLOOKUP(H396,'Amount Impute Table'!$A$16:$F$20,MATCH(E396,'Amount Impute Table'!$B$15:$F$15,0)+1,0)),B396)</f>
        <v>250.04</v>
      </c>
    </row>
    <row r="397" spans="1:9" x14ac:dyDescent="0.2">
      <c r="A397">
        <v>105</v>
      </c>
      <c r="B397">
        <v>907.66</v>
      </c>
      <c r="C397">
        <v>83251</v>
      </c>
      <c r="D397" t="s">
        <v>7</v>
      </c>
      <c r="E397" t="s">
        <v>16</v>
      </c>
      <c r="F397">
        <v>36</v>
      </c>
      <c r="G397">
        <v>0</v>
      </c>
      <c r="H397" t="str">
        <f>IF(ISBLANK(D397),IF(G397=1,VLOOKUP(E397,'Location Impute Tables'!$A$5:$J$9,10,0),VLOOKUP(E397,'Location Impute Tables'!$A$25:$J$29,10,0)),D397)</f>
        <v>Chicago</v>
      </c>
      <c r="I397">
        <f>IF(ISBLANK(B397),IF(G397=1,VLOOKUP(H397,'Amount Impute Table'!$A$5:$F$9,MATCH(fraud_data!E397,'Amount Impute Table'!$B$4:$F$4,0)+1,FALSE),VLOOKUP(H397,'Amount Impute Table'!$A$16:$F$20,MATCH(E397,'Amount Impute Table'!$B$15:$F$15,0)+1,0)),B397)</f>
        <v>907.66</v>
      </c>
    </row>
    <row r="398" spans="1:9" x14ac:dyDescent="0.2">
      <c r="A398">
        <v>104</v>
      </c>
      <c r="B398">
        <v>509.06</v>
      </c>
      <c r="C398">
        <v>75745</v>
      </c>
      <c r="D398" t="s">
        <v>13</v>
      </c>
      <c r="E398" t="s">
        <v>16</v>
      </c>
      <c r="F398">
        <v>40</v>
      </c>
      <c r="G398">
        <v>0</v>
      </c>
      <c r="H398" t="str">
        <f>IF(ISBLANK(D398),IF(G398=1,VLOOKUP(E398,'Location Impute Tables'!$A$5:$J$9,10,0),VLOOKUP(E398,'Location Impute Tables'!$A$25:$J$29,10,0)),D398)</f>
        <v>Houston</v>
      </c>
      <c r="I398">
        <f>IF(ISBLANK(B398),IF(G398=1,VLOOKUP(H398,'Amount Impute Table'!$A$5:$F$9,MATCH(fraud_data!E398,'Amount Impute Table'!$B$4:$F$4,0)+1,FALSE),VLOOKUP(H398,'Amount Impute Table'!$A$16:$F$20,MATCH(E398,'Amount Impute Table'!$B$15:$F$15,0)+1,0)),B398)</f>
        <v>509.06</v>
      </c>
    </row>
    <row r="399" spans="1:9" x14ac:dyDescent="0.2">
      <c r="A399">
        <v>103</v>
      </c>
      <c r="B399">
        <v>315.04000000000002</v>
      </c>
      <c r="C399">
        <v>61886</v>
      </c>
      <c r="D399" t="s">
        <v>9</v>
      </c>
      <c r="E399" t="s">
        <v>16</v>
      </c>
      <c r="F399">
        <v>77</v>
      </c>
      <c r="G399">
        <v>0</v>
      </c>
      <c r="H399" t="str">
        <f>IF(ISBLANK(D399),IF(G399=1,VLOOKUP(E399,'Location Impute Tables'!$A$5:$J$9,10,0),VLOOKUP(E399,'Location Impute Tables'!$A$25:$J$29,10,0)),D399)</f>
        <v>Los Angeles</v>
      </c>
      <c r="I399">
        <f>IF(ISBLANK(B399),IF(G399=1,VLOOKUP(H399,'Amount Impute Table'!$A$5:$F$9,MATCH(fraud_data!E399,'Amount Impute Table'!$B$4:$F$4,0)+1,FALSE),VLOOKUP(H399,'Amount Impute Table'!$A$16:$F$20,MATCH(E399,'Amount Impute Table'!$B$15:$F$15,0)+1,0)),B399)</f>
        <v>315.04000000000002</v>
      </c>
    </row>
    <row r="400" spans="1:9" x14ac:dyDescent="0.2">
      <c r="A400">
        <v>102</v>
      </c>
      <c r="B400">
        <v>636.77</v>
      </c>
      <c r="C400">
        <v>23386</v>
      </c>
      <c r="D400" t="s">
        <v>9</v>
      </c>
      <c r="E400" t="s">
        <v>16</v>
      </c>
      <c r="F400">
        <v>19</v>
      </c>
      <c r="G400">
        <v>0</v>
      </c>
      <c r="H400" t="str">
        <f>IF(ISBLANK(D400),IF(G400=1,VLOOKUP(E400,'Location Impute Tables'!$A$5:$J$9,10,0),VLOOKUP(E400,'Location Impute Tables'!$A$25:$J$29,10,0)),D400)</f>
        <v>Los Angeles</v>
      </c>
      <c r="I400">
        <f>IF(ISBLANK(B400),IF(G400=1,VLOOKUP(H400,'Amount Impute Table'!$A$5:$F$9,MATCH(fraud_data!E400,'Amount Impute Table'!$B$4:$F$4,0)+1,FALSE),VLOOKUP(H400,'Amount Impute Table'!$A$16:$F$20,MATCH(E400,'Amount Impute Table'!$B$15:$F$15,0)+1,0)),B400)</f>
        <v>636.77</v>
      </c>
    </row>
    <row r="401" spans="1:9" x14ac:dyDescent="0.2">
      <c r="A401">
        <v>101</v>
      </c>
      <c r="B401">
        <v>32.4</v>
      </c>
      <c r="C401">
        <v>25934</v>
      </c>
      <c r="D401" t="s">
        <v>13</v>
      </c>
      <c r="E401" t="s">
        <v>16</v>
      </c>
      <c r="F401">
        <v>79</v>
      </c>
      <c r="G401">
        <v>0</v>
      </c>
      <c r="H401" t="str">
        <f>IF(ISBLANK(D401),IF(G401=1,VLOOKUP(E401,'Location Impute Tables'!$A$5:$J$9,10,0),VLOOKUP(E401,'Location Impute Tables'!$A$25:$J$29,10,0)),D401)</f>
        <v>Houston</v>
      </c>
      <c r="I401">
        <f>IF(ISBLANK(B401),IF(G401=1,VLOOKUP(H401,'Amount Impute Table'!$A$5:$F$9,MATCH(fraud_data!E401,'Amount Impute Table'!$B$4:$F$4,0)+1,FALSE),VLOOKUP(H401,'Amount Impute Table'!$A$16:$F$20,MATCH(E401,'Amount Impute Table'!$B$15:$F$15,0)+1,0)),B401)</f>
        <v>32.4</v>
      </c>
    </row>
    <row r="402" spans="1:9" x14ac:dyDescent="0.2">
      <c r="A402">
        <v>100</v>
      </c>
      <c r="B402">
        <v>108.78</v>
      </c>
      <c r="C402">
        <v>6941</v>
      </c>
      <c r="D402" t="s">
        <v>10</v>
      </c>
      <c r="E402" t="s">
        <v>14</v>
      </c>
      <c r="F402">
        <v>60</v>
      </c>
      <c r="G402">
        <v>0</v>
      </c>
      <c r="H402" t="str">
        <f>IF(ISBLANK(D402),IF(G402=1,VLOOKUP(E402,'Location Impute Tables'!$A$5:$J$9,10,0),VLOOKUP(E402,'Location Impute Tables'!$A$25:$J$29,10,0)),D402)</f>
        <v>Miami</v>
      </c>
      <c r="I402">
        <f>IF(ISBLANK(B402),IF(G402=1,VLOOKUP(H402,'Amount Impute Table'!$A$5:$F$9,MATCH(fraud_data!E402,'Amount Impute Table'!$B$4:$F$4,0)+1,FALSE),VLOOKUP(H402,'Amount Impute Table'!$A$16:$F$20,MATCH(E402,'Amount Impute Table'!$B$15:$F$15,0)+1,0)),B402)</f>
        <v>108.78</v>
      </c>
    </row>
    <row r="403" spans="1:9" x14ac:dyDescent="0.2">
      <c r="A403">
        <v>99</v>
      </c>
      <c r="B403">
        <v>26.39</v>
      </c>
      <c r="C403">
        <v>73553</v>
      </c>
      <c r="D403" t="s">
        <v>9</v>
      </c>
      <c r="E403" t="s">
        <v>16</v>
      </c>
      <c r="F403">
        <v>46</v>
      </c>
      <c r="G403">
        <v>0</v>
      </c>
      <c r="H403" t="str">
        <f>IF(ISBLANK(D403),IF(G403=1,VLOOKUP(E403,'Location Impute Tables'!$A$5:$J$9,10,0),VLOOKUP(E403,'Location Impute Tables'!$A$25:$J$29,10,0)),D403)</f>
        <v>Los Angeles</v>
      </c>
      <c r="I403">
        <f>IF(ISBLANK(B403),IF(G403=1,VLOOKUP(H403,'Amount Impute Table'!$A$5:$F$9,MATCH(fraud_data!E403,'Amount Impute Table'!$B$4:$F$4,0)+1,FALSE),VLOOKUP(H403,'Amount Impute Table'!$A$16:$F$20,MATCH(E403,'Amount Impute Table'!$B$15:$F$15,0)+1,0)),B403)</f>
        <v>26.39</v>
      </c>
    </row>
    <row r="404" spans="1:9" x14ac:dyDescent="0.2">
      <c r="A404">
        <v>98</v>
      </c>
      <c r="B404">
        <v>428.11</v>
      </c>
      <c r="C404">
        <v>55393</v>
      </c>
      <c r="E404" t="s">
        <v>14</v>
      </c>
      <c r="F404">
        <v>49</v>
      </c>
      <c r="G404">
        <v>0</v>
      </c>
      <c r="H404" t="str">
        <f>IF(ISBLANK(D404),IF(G404=1,VLOOKUP(E404,'Location Impute Tables'!$A$5:$J$9,10,0),VLOOKUP(E404,'Location Impute Tables'!$A$25:$J$29,10,0)),D404)</f>
        <v>Houston</v>
      </c>
      <c r="I404">
        <f>IF(ISBLANK(B404),IF(G404=1,VLOOKUP(H404,'Amount Impute Table'!$A$5:$F$9,MATCH(fraud_data!E404,'Amount Impute Table'!$B$4:$F$4,0)+1,FALSE),VLOOKUP(H404,'Amount Impute Table'!$A$16:$F$20,MATCH(E404,'Amount Impute Table'!$B$15:$F$15,0)+1,0)),B404)</f>
        <v>428.11</v>
      </c>
    </row>
    <row r="405" spans="1:9" x14ac:dyDescent="0.2">
      <c r="A405">
        <v>97</v>
      </c>
      <c r="B405">
        <v>523.21</v>
      </c>
      <c r="C405">
        <v>6949</v>
      </c>
      <c r="D405" t="s">
        <v>10</v>
      </c>
      <c r="E405" t="s">
        <v>12</v>
      </c>
      <c r="F405">
        <v>23</v>
      </c>
      <c r="G405">
        <v>0</v>
      </c>
      <c r="H405" t="str">
        <f>IF(ISBLANK(D405),IF(G405=1,VLOOKUP(E405,'Location Impute Tables'!$A$5:$J$9,10,0),VLOOKUP(E405,'Location Impute Tables'!$A$25:$J$29,10,0)),D405)</f>
        <v>Miami</v>
      </c>
      <c r="I405">
        <f>IF(ISBLANK(B405),IF(G405=1,VLOOKUP(H405,'Amount Impute Table'!$A$5:$F$9,MATCH(fraud_data!E405,'Amount Impute Table'!$B$4:$F$4,0)+1,FALSE),VLOOKUP(H405,'Amount Impute Table'!$A$16:$F$20,MATCH(E405,'Amount Impute Table'!$B$15:$F$15,0)+1,0)),B405)</f>
        <v>523.21</v>
      </c>
    </row>
    <row r="406" spans="1:9" x14ac:dyDescent="0.2">
      <c r="A406">
        <v>96</v>
      </c>
      <c r="B406">
        <v>494.3</v>
      </c>
      <c r="C406">
        <v>78587</v>
      </c>
      <c r="D406" t="s">
        <v>9</v>
      </c>
      <c r="E406" t="s">
        <v>14</v>
      </c>
      <c r="F406">
        <v>77</v>
      </c>
      <c r="G406">
        <v>0</v>
      </c>
      <c r="H406" t="str">
        <f>IF(ISBLANK(D406),IF(G406=1,VLOOKUP(E406,'Location Impute Tables'!$A$5:$J$9,10,0),VLOOKUP(E406,'Location Impute Tables'!$A$25:$J$29,10,0)),D406)</f>
        <v>Los Angeles</v>
      </c>
      <c r="I406">
        <f>IF(ISBLANK(B406),IF(G406=1,VLOOKUP(H406,'Amount Impute Table'!$A$5:$F$9,MATCH(fraud_data!E406,'Amount Impute Table'!$B$4:$F$4,0)+1,FALSE),VLOOKUP(H406,'Amount Impute Table'!$A$16:$F$20,MATCH(E406,'Amount Impute Table'!$B$15:$F$15,0)+1,0)),B406)</f>
        <v>494.3</v>
      </c>
    </row>
    <row r="407" spans="1:9" x14ac:dyDescent="0.2">
      <c r="A407">
        <v>95</v>
      </c>
      <c r="C407">
        <v>65215</v>
      </c>
      <c r="D407" t="s">
        <v>10</v>
      </c>
      <c r="E407" t="s">
        <v>8</v>
      </c>
      <c r="F407">
        <v>46</v>
      </c>
      <c r="G407">
        <v>0</v>
      </c>
      <c r="H407" t="str">
        <f>IF(ISBLANK(D407),IF(G407=1,VLOOKUP(E407,'Location Impute Tables'!$A$5:$J$9,10,0),VLOOKUP(E407,'Location Impute Tables'!$A$25:$J$29,10,0)),D407)</f>
        <v>Miami</v>
      </c>
      <c r="I407">
        <f>IF(ISBLANK(B407),IF(G407=1,VLOOKUP(H407,'Amount Impute Table'!$A$5:$F$9,MATCH(fraud_data!E407,'Amount Impute Table'!$B$4:$F$4,0)+1,FALSE),VLOOKUP(H407,'Amount Impute Table'!$A$16:$F$20,MATCH(E407,'Amount Impute Table'!$B$15:$F$15,0)+1,0)),B407)</f>
        <v>956.36244346902424</v>
      </c>
    </row>
    <row r="408" spans="1:9" x14ac:dyDescent="0.2">
      <c r="A408">
        <v>94</v>
      </c>
      <c r="B408">
        <v>561.72</v>
      </c>
      <c r="C408">
        <v>81317</v>
      </c>
      <c r="D408" t="s">
        <v>15</v>
      </c>
      <c r="E408" t="s">
        <v>16</v>
      </c>
      <c r="F408">
        <v>35</v>
      </c>
      <c r="G408">
        <v>0</v>
      </c>
      <c r="H408" t="str">
        <f>IF(ISBLANK(D408),IF(G408=1,VLOOKUP(E408,'Location Impute Tables'!$A$5:$J$9,10,0),VLOOKUP(E408,'Location Impute Tables'!$A$25:$J$29,10,0)),D408)</f>
        <v>New York</v>
      </c>
      <c r="I408">
        <f>IF(ISBLANK(B408),IF(G408=1,VLOOKUP(H408,'Amount Impute Table'!$A$5:$F$9,MATCH(fraud_data!E408,'Amount Impute Table'!$B$4:$F$4,0)+1,FALSE),VLOOKUP(H408,'Amount Impute Table'!$A$16:$F$20,MATCH(E408,'Amount Impute Table'!$B$15:$F$15,0)+1,0)),B408)</f>
        <v>561.72</v>
      </c>
    </row>
    <row r="409" spans="1:9" x14ac:dyDescent="0.2">
      <c r="A409">
        <v>93</v>
      </c>
      <c r="B409">
        <v>761.02</v>
      </c>
      <c r="C409">
        <v>59494</v>
      </c>
      <c r="D409" t="s">
        <v>10</v>
      </c>
      <c r="E409" t="s">
        <v>8</v>
      </c>
      <c r="F409">
        <v>37</v>
      </c>
      <c r="G409">
        <v>0</v>
      </c>
      <c r="H409" t="str">
        <f>IF(ISBLANK(D409),IF(G409=1,VLOOKUP(E409,'Location Impute Tables'!$A$5:$J$9,10,0),VLOOKUP(E409,'Location Impute Tables'!$A$25:$J$29,10,0)),D409)</f>
        <v>Miami</v>
      </c>
      <c r="I409">
        <f>IF(ISBLANK(B409),IF(G409=1,VLOOKUP(H409,'Amount Impute Table'!$A$5:$F$9,MATCH(fraud_data!E409,'Amount Impute Table'!$B$4:$F$4,0)+1,FALSE),VLOOKUP(H409,'Amount Impute Table'!$A$16:$F$20,MATCH(E409,'Amount Impute Table'!$B$15:$F$15,0)+1,0)),B409)</f>
        <v>761.02</v>
      </c>
    </row>
    <row r="410" spans="1:9" x14ac:dyDescent="0.2">
      <c r="A410">
        <v>92</v>
      </c>
      <c r="B410">
        <v>713.53</v>
      </c>
      <c r="C410">
        <v>53682</v>
      </c>
      <c r="E410" t="s">
        <v>14</v>
      </c>
      <c r="F410">
        <v>31</v>
      </c>
      <c r="G410">
        <v>0</v>
      </c>
      <c r="H410" t="str">
        <f>IF(ISBLANK(D410),IF(G410=1,VLOOKUP(E410,'Location Impute Tables'!$A$5:$J$9,10,0),VLOOKUP(E410,'Location Impute Tables'!$A$25:$J$29,10,0)),D410)</f>
        <v>Houston</v>
      </c>
      <c r="I410">
        <f>IF(ISBLANK(B410),IF(G410=1,VLOOKUP(H410,'Amount Impute Table'!$A$5:$F$9,MATCH(fraud_data!E410,'Amount Impute Table'!$B$4:$F$4,0)+1,FALSE),VLOOKUP(H410,'Amount Impute Table'!$A$16:$F$20,MATCH(E410,'Amount Impute Table'!$B$15:$F$15,0)+1,0)),B410)</f>
        <v>713.53</v>
      </c>
    </row>
    <row r="411" spans="1:9" x14ac:dyDescent="0.2">
      <c r="A411">
        <v>91</v>
      </c>
      <c r="B411">
        <v>120.47</v>
      </c>
      <c r="C411">
        <v>37441</v>
      </c>
      <c r="D411" t="s">
        <v>9</v>
      </c>
      <c r="E411" t="s">
        <v>14</v>
      </c>
      <c r="F411">
        <v>48</v>
      </c>
      <c r="G411">
        <v>0</v>
      </c>
      <c r="H411" t="str">
        <f>IF(ISBLANK(D411),IF(G411=1,VLOOKUP(E411,'Location Impute Tables'!$A$5:$J$9,10,0),VLOOKUP(E411,'Location Impute Tables'!$A$25:$J$29,10,0)),D411)</f>
        <v>Los Angeles</v>
      </c>
      <c r="I411">
        <f>IF(ISBLANK(B411),IF(G411=1,VLOOKUP(H411,'Amount Impute Table'!$A$5:$F$9,MATCH(fraud_data!E411,'Amount Impute Table'!$B$4:$F$4,0)+1,FALSE),VLOOKUP(H411,'Amount Impute Table'!$A$16:$F$20,MATCH(E411,'Amount Impute Table'!$B$15:$F$15,0)+1,0)),B411)</f>
        <v>120.47</v>
      </c>
    </row>
    <row r="412" spans="1:9" x14ac:dyDescent="0.2">
      <c r="A412">
        <v>90</v>
      </c>
      <c r="B412">
        <v>472.74</v>
      </c>
      <c r="C412">
        <v>77709</v>
      </c>
      <c r="D412" t="s">
        <v>7</v>
      </c>
      <c r="E412" t="s">
        <v>11</v>
      </c>
      <c r="F412">
        <v>30</v>
      </c>
      <c r="G412">
        <v>0</v>
      </c>
      <c r="H412" t="str">
        <f>IF(ISBLANK(D412),IF(G412=1,VLOOKUP(E412,'Location Impute Tables'!$A$5:$J$9,10,0),VLOOKUP(E412,'Location Impute Tables'!$A$25:$J$29,10,0)),D412)</f>
        <v>Chicago</v>
      </c>
      <c r="I412">
        <f>IF(ISBLANK(B412),IF(G412=1,VLOOKUP(H412,'Amount Impute Table'!$A$5:$F$9,MATCH(fraud_data!E412,'Amount Impute Table'!$B$4:$F$4,0)+1,FALSE),VLOOKUP(H412,'Amount Impute Table'!$A$16:$F$20,MATCH(E412,'Amount Impute Table'!$B$15:$F$15,0)+1,0)),B412)</f>
        <v>472.74</v>
      </c>
    </row>
    <row r="413" spans="1:9" x14ac:dyDescent="0.2">
      <c r="A413">
        <v>89</v>
      </c>
      <c r="C413">
        <v>39764</v>
      </c>
      <c r="D413" t="s">
        <v>15</v>
      </c>
      <c r="E413" t="s">
        <v>11</v>
      </c>
      <c r="G413">
        <v>1</v>
      </c>
      <c r="H413" t="str">
        <f>IF(ISBLANK(D413),IF(G413=1,VLOOKUP(E413,'Location Impute Tables'!$A$5:$J$9,10,0),VLOOKUP(E413,'Location Impute Tables'!$A$25:$J$29,10,0)),D413)</f>
        <v>New York</v>
      </c>
      <c r="I413">
        <f>IF(ISBLANK(B413),IF(G413=1,VLOOKUP(H413,'Amount Impute Table'!$A$5:$F$9,MATCH(fraud_data!E413,'Amount Impute Table'!$B$4:$F$4,0)+1,FALSE),VLOOKUP(H413,'Amount Impute Table'!$A$16:$F$20,MATCH(E413,'Amount Impute Table'!$B$15:$F$15,0)+1,0)),B413)</f>
        <v>360.83</v>
      </c>
    </row>
    <row r="414" spans="1:9" x14ac:dyDescent="0.2">
      <c r="A414">
        <v>88</v>
      </c>
      <c r="B414">
        <v>637.91999999999996</v>
      </c>
      <c r="C414">
        <v>1252</v>
      </c>
      <c r="D414" t="s">
        <v>7</v>
      </c>
      <c r="E414" t="s">
        <v>12</v>
      </c>
      <c r="F414">
        <v>49</v>
      </c>
      <c r="G414">
        <v>0</v>
      </c>
      <c r="H414" t="str">
        <f>IF(ISBLANK(D414),IF(G414=1,VLOOKUP(E414,'Location Impute Tables'!$A$5:$J$9,10,0),VLOOKUP(E414,'Location Impute Tables'!$A$25:$J$29,10,0)),D414)</f>
        <v>Chicago</v>
      </c>
      <c r="I414">
        <f>IF(ISBLANK(B414),IF(G414=1,VLOOKUP(H414,'Amount Impute Table'!$A$5:$F$9,MATCH(fraud_data!E414,'Amount Impute Table'!$B$4:$F$4,0)+1,FALSE),VLOOKUP(H414,'Amount Impute Table'!$A$16:$F$20,MATCH(E414,'Amount Impute Table'!$B$15:$F$15,0)+1,0)),B414)</f>
        <v>637.91999999999996</v>
      </c>
    </row>
    <row r="415" spans="1:9" x14ac:dyDescent="0.2">
      <c r="A415">
        <v>87</v>
      </c>
      <c r="B415">
        <v>729.88</v>
      </c>
      <c r="C415">
        <v>44238</v>
      </c>
      <c r="D415" t="s">
        <v>10</v>
      </c>
      <c r="E415" t="s">
        <v>16</v>
      </c>
      <c r="F415">
        <v>49</v>
      </c>
      <c r="G415">
        <v>0</v>
      </c>
      <c r="H415" t="str">
        <f>IF(ISBLANK(D415),IF(G415=1,VLOOKUP(E415,'Location Impute Tables'!$A$5:$J$9,10,0),VLOOKUP(E415,'Location Impute Tables'!$A$25:$J$29,10,0)),D415)</f>
        <v>Miami</v>
      </c>
      <c r="I415">
        <f>IF(ISBLANK(B415),IF(G415=1,VLOOKUP(H415,'Amount Impute Table'!$A$5:$F$9,MATCH(fraud_data!E415,'Amount Impute Table'!$B$4:$F$4,0)+1,FALSE),VLOOKUP(H415,'Amount Impute Table'!$A$16:$F$20,MATCH(E415,'Amount Impute Table'!$B$15:$F$15,0)+1,0)),B415)</f>
        <v>729.88</v>
      </c>
    </row>
    <row r="416" spans="1:9" x14ac:dyDescent="0.2">
      <c r="A416">
        <v>86</v>
      </c>
      <c r="B416">
        <v>325.86</v>
      </c>
      <c r="C416">
        <v>15254</v>
      </c>
      <c r="D416" t="s">
        <v>9</v>
      </c>
      <c r="E416" t="s">
        <v>11</v>
      </c>
      <c r="F416">
        <v>29</v>
      </c>
      <c r="G416">
        <v>0</v>
      </c>
      <c r="H416" t="str">
        <f>IF(ISBLANK(D416),IF(G416=1,VLOOKUP(E416,'Location Impute Tables'!$A$5:$J$9,10,0),VLOOKUP(E416,'Location Impute Tables'!$A$25:$J$29,10,0)),D416)</f>
        <v>Los Angeles</v>
      </c>
      <c r="I416">
        <f>IF(ISBLANK(B416),IF(G416=1,VLOOKUP(H416,'Amount Impute Table'!$A$5:$F$9,MATCH(fraud_data!E416,'Amount Impute Table'!$B$4:$F$4,0)+1,FALSE),VLOOKUP(H416,'Amount Impute Table'!$A$16:$F$20,MATCH(E416,'Amount Impute Table'!$B$15:$F$15,0)+1,0)),B416)</f>
        <v>325.86</v>
      </c>
    </row>
    <row r="417" spans="1:9" x14ac:dyDescent="0.2">
      <c r="A417">
        <v>85</v>
      </c>
      <c r="B417">
        <v>311.67</v>
      </c>
      <c r="C417">
        <v>19758</v>
      </c>
      <c r="D417" t="s">
        <v>10</v>
      </c>
      <c r="E417" t="s">
        <v>11</v>
      </c>
      <c r="F417">
        <v>77</v>
      </c>
      <c r="G417">
        <v>0</v>
      </c>
      <c r="H417" t="str">
        <f>IF(ISBLANK(D417),IF(G417=1,VLOOKUP(E417,'Location Impute Tables'!$A$5:$J$9,10,0),VLOOKUP(E417,'Location Impute Tables'!$A$25:$J$29,10,0)),D417)</f>
        <v>Miami</v>
      </c>
      <c r="I417">
        <f>IF(ISBLANK(B417),IF(G417=1,VLOOKUP(H417,'Amount Impute Table'!$A$5:$F$9,MATCH(fraud_data!E417,'Amount Impute Table'!$B$4:$F$4,0)+1,FALSE),VLOOKUP(H417,'Amount Impute Table'!$A$16:$F$20,MATCH(E417,'Amount Impute Table'!$B$15:$F$15,0)+1,0)),B417)</f>
        <v>311.67</v>
      </c>
    </row>
    <row r="418" spans="1:9" x14ac:dyDescent="0.2">
      <c r="A418">
        <v>84</v>
      </c>
      <c r="B418">
        <v>64.489999999999995</v>
      </c>
      <c r="C418">
        <v>19198</v>
      </c>
      <c r="D418" t="s">
        <v>13</v>
      </c>
      <c r="E418" t="s">
        <v>8</v>
      </c>
      <c r="F418">
        <v>62</v>
      </c>
      <c r="G418">
        <v>0</v>
      </c>
      <c r="H418" t="str">
        <f>IF(ISBLANK(D418),IF(G418=1,VLOOKUP(E418,'Location Impute Tables'!$A$5:$J$9,10,0),VLOOKUP(E418,'Location Impute Tables'!$A$25:$J$29,10,0)),D418)</f>
        <v>Houston</v>
      </c>
      <c r="I418">
        <f>IF(ISBLANK(B418),IF(G418=1,VLOOKUP(H418,'Amount Impute Table'!$A$5:$F$9,MATCH(fraud_data!E418,'Amount Impute Table'!$B$4:$F$4,0)+1,FALSE),VLOOKUP(H418,'Amount Impute Table'!$A$16:$F$20,MATCH(E418,'Amount Impute Table'!$B$15:$F$15,0)+1,0)),B418)</f>
        <v>64.489999999999995</v>
      </c>
    </row>
    <row r="419" spans="1:9" x14ac:dyDescent="0.2">
      <c r="A419">
        <v>83</v>
      </c>
      <c r="B419">
        <v>331.57</v>
      </c>
      <c r="C419">
        <v>53871</v>
      </c>
      <c r="D419" t="s">
        <v>9</v>
      </c>
      <c r="E419" t="s">
        <v>14</v>
      </c>
      <c r="F419">
        <v>21</v>
      </c>
      <c r="G419">
        <v>0</v>
      </c>
      <c r="H419" t="str">
        <f>IF(ISBLANK(D419),IF(G419=1,VLOOKUP(E419,'Location Impute Tables'!$A$5:$J$9,10,0),VLOOKUP(E419,'Location Impute Tables'!$A$25:$J$29,10,0)),D419)</f>
        <v>Los Angeles</v>
      </c>
      <c r="I419">
        <f>IF(ISBLANK(B419),IF(G419=1,VLOOKUP(H419,'Amount Impute Table'!$A$5:$F$9,MATCH(fraud_data!E419,'Amount Impute Table'!$B$4:$F$4,0)+1,FALSE),VLOOKUP(H419,'Amount Impute Table'!$A$16:$F$20,MATCH(E419,'Amount Impute Table'!$B$15:$F$15,0)+1,0)),B419)</f>
        <v>331.57</v>
      </c>
    </row>
    <row r="420" spans="1:9" x14ac:dyDescent="0.2">
      <c r="A420">
        <v>82</v>
      </c>
      <c r="B420">
        <v>623.66999999999996</v>
      </c>
      <c r="C420">
        <v>42808</v>
      </c>
      <c r="D420" t="s">
        <v>15</v>
      </c>
      <c r="E420" t="s">
        <v>11</v>
      </c>
      <c r="F420">
        <v>32</v>
      </c>
      <c r="G420">
        <v>0</v>
      </c>
      <c r="H420" t="str">
        <f>IF(ISBLANK(D420),IF(G420=1,VLOOKUP(E420,'Location Impute Tables'!$A$5:$J$9,10,0),VLOOKUP(E420,'Location Impute Tables'!$A$25:$J$29,10,0)),D420)</f>
        <v>New York</v>
      </c>
      <c r="I420">
        <f>IF(ISBLANK(B420),IF(G420=1,VLOOKUP(H420,'Amount Impute Table'!$A$5:$F$9,MATCH(fraud_data!E420,'Amount Impute Table'!$B$4:$F$4,0)+1,FALSE),VLOOKUP(H420,'Amount Impute Table'!$A$16:$F$20,MATCH(E420,'Amount Impute Table'!$B$15:$F$15,0)+1,0)),B420)</f>
        <v>623.66999999999996</v>
      </c>
    </row>
    <row r="421" spans="1:9" x14ac:dyDescent="0.2">
      <c r="A421">
        <v>81</v>
      </c>
      <c r="B421">
        <v>863.24</v>
      </c>
      <c r="C421">
        <v>37626</v>
      </c>
      <c r="D421" t="s">
        <v>10</v>
      </c>
      <c r="E421" t="s">
        <v>12</v>
      </c>
      <c r="F421">
        <v>42</v>
      </c>
      <c r="G421">
        <v>0</v>
      </c>
      <c r="H421" t="str">
        <f>IF(ISBLANK(D421),IF(G421=1,VLOOKUP(E421,'Location Impute Tables'!$A$5:$J$9,10,0),VLOOKUP(E421,'Location Impute Tables'!$A$25:$J$29,10,0)),D421)</f>
        <v>Miami</v>
      </c>
      <c r="I421">
        <f>IF(ISBLANK(B421),IF(G421=1,VLOOKUP(H421,'Amount Impute Table'!$A$5:$F$9,MATCH(fraud_data!E421,'Amount Impute Table'!$B$4:$F$4,0)+1,FALSE),VLOOKUP(H421,'Amount Impute Table'!$A$16:$F$20,MATCH(E421,'Amount Impute Table'!$B$15:$F$15,0)+1,0)),B421)</f>
        <v>863.24</v>
      </c>
    </row>
    <row r="422" spans="1:9" x14ac:dyDescent="0.2">
      <c r="A422">
        <v>80</v>
      </c>
      <c r="B422">
        <v>116.75</v>
      </c>
      <c r="C422">
        <v>24285</v>
      </c>
      <c r="D422" t="s">
        <v>15</v>
      </c>
      <c r="E422" t="s">
        <v>12</v>
      </c>
      <c r="F422">
        <v>21</v>
      </c>
      <c r="G422">
        <v>0</v>
      </c>
      <c r="H422" t="str">
        <f>IF(ISBLANK(D422),IF(G422=1,VLOOKUP(E422,'Location Impute Tables'!$A$5:$J$9,10,0),VLOOKUP(E422,'Location Impute Tables'!$A$25:$J$29,10,0)),D422)</f>
        <v>New York</v>
      </c>
      <c r="I422">
        <f>IF(ISBLANK(B422),IF(G422=1,VLOOKUP(H422,'Amount Impute Table'!$A$5:$F$9,MATCH(fraud_data!E422,'Amount Impute Table'!$B$4:$F$4,0)+1,FALSE),VLOOKUP(H422,'Amount Impute Table'!$A$16:$F$20,MATCH(E422,'Amount Impute Table'!$B$15:$F$15,0)+1,0)),B422)</f>
        <v>116.75</v>
      </c>
    </row>
    <row r="423" spans="1:9" x14ac:dyDescent="0.2">
      <c r="A423">
        <v>79</v>
      </c>
      <c r="B423">
        <v>359.11</v>
      </c>
      <c r="C423">
        <v>73963</v>
      </c>
      <c r="D423" t="s">
        <v>9</v>
      </c>
      <c r="E423" t="s">
        <v>16</v>
      </c>
      <c r="F423">
        <v>51</v>
      </c>
      <c r="G423">
        <v>0</v>
      </c>
      <c r="H423" t="str">
        <f>IF(ISBLANK(D423),IF(G423=1,VLOOKUP(E423,'Location Impute Tables'!$A$5:$J$9,10,0),VLOOKUP(E423,'Location Impute Tables'!$A$25:$J$29,10,0)),D423)</f>
        <v>Los Angeles</v>
      </c>
      <c r="I423">
        <f>IF(ISBLANK(B423),IF(G423=1,VLOOKUP(H423,'Amount Impute Table'!$A$5:$F$9,MATCH(fraud_data!E423,'Amount Impute Table'!$B$4:$F$4,0)+1,FALSE),VLOOKUP(H423,'Amount Impute Table'!$A$16:$F$20,MATCH(E423,'Amount Impute Table'!$B$15:$F$15,0)+1,0)),B423)</f>
        <v>359.11</v>
      </c>
    </row>
    <row r="424" spans="1:9" x14ac:dyDescent="0.2">
      <c r="A424">
        <v>78</v>
      </c>
      <c r="B424">
        <v>74.97</v>
      </c>
      <c r="C424">
        <v>42944</v>
      </c>
      <c r="D424" t="s">
        <v>15</v>
      </c>
      <c r="E424" t="s">
        <v>11</v>
      </c>
      <c r="G424">
        <v>0</v>
      </c>
      <c r="H424" t="str">
        <f>IF(ISBLANK(D424),IF(G424=1,VLOOKUP(E424,'Location Impute Tables'!$A$5:$J$9,10,0),VLOOKUP(E424,'Location Impute Tables'!$A$25:$J$29,10,0)),D424)</f>
        <v>New York</v>
      </c>
      <c r="I424">
        <f>IF(ISBLANK(B424),IF(G424=1,VLOOKUP(H424,'Amount Impute Table'!$A$5:$F$9,MATCH(fraud_data!E424,'Amount Impute Table'!$B$4:$F$4,0)+1,FALSE),VLOOKUP(H424,'Amount Impute Table'!$A$16:$F$20,MATCH(E424,'Amount Impute Table'!$B$15:$F$15,0)+1,0)),B424)</f>
        <v>74.97</v>
      </c>
    </row>
    <row r="425" spans="1:9" x14ac:dyDescent="0.2">
      <c r="A425">
        <v>77</v>
      </c>
      <c r="B425">
        <v>771.5</v>
      </c>
      <c r="C425">
        <v>37131</v>
      </c>
      <c r="E425" t="s">
        <v>14</v>
      </c>
      <c r="F425">
        <v>25</v>
      </c>
      <c r="G425">
        <v>0</v>
      </c>
      <c r="H425" t="str">
        <f>IF(ISBLANK(D425),IF(G425=1,VLOOKUP(E425,'Location Impute Tables'!$A$5:$J$9,10,0),VLOOKUP(E425,'Location Impute Tables'!$A$25:$J$29,10,0)),D425)</f>
        <v>Houston</v>
      </c>
      <c r="I425">
        <f>IF(ISBLANK(B425),IF(G425=1,VLOOKUP(H425,'Amount Impute Table'!$A$5:$F$9,MATCH(fraud_data!E425,'Amount Impute Table'!$B$4:$F$4,0)+1,FALSE),VLOOKUP(H425,'Amount Impute Table'!$A$16:$F$20,MATCH(E425,'Amount Impute Table'!$B$15:$F$15,0)+1,0)),B425)</f>
        <v>771.5</v>
      </c>
    </row>
    <row r="426" spans="1:9" x14ac:dyDescent="0.2">
      <c r="A426">
        <v>76</v>
      </c>
      <c r="B426">
        <v>729.28</v>
      </c>
      <c r="C426">
        <v>32049</v>
      </c>
      <c r="D426" t="s">
        <v>9</v>
      </c>
      <c r="E426" t="s">
        <v>14</v>
      </c>
      <c r="F426">
        <v>51</v>
      </c>
      <c r="G426">
        <v>0</v>
      </c>
      <c r="H426" t="str">
        <f>IF(ISBLANK(D426),IF(G426=1,VLOOKUP(E426,'Location Impute Tables'!$A$5:$J$9,10,0),VLOOKUP(E426,'Location Impute Tables'!$A$25:$J$29,10,0)),D426)</f>
        <v>Los Angeles</v>
      </c>
      <c r="I426">
        <f>IF(ISBLANK(B426),IF(G426=1,VLOOKUP(H426,'Amount Impute Table'!$A$5:$F$9,MATCH(fraud_data!E426,'Amount Impute Table'!$B$4:$F$4,0)+1,FALSE),VLOOKUP(H426,'Amount Impute Table'!$A$16:$F$20,MATCH(E426,'Amount Impute Table'!$B$15:$F$15,0)+1,0)),B426)</f>
        <v>729.28</v>
      </c>
    </row>
    <row r="427" spans="1:9" x14ac:dyDescent="0.2">
      <c r="A427">
        <v>75</v>
      </c>
      <c r="B427">
        <v>707.15</v>
      </c>
      <c r="C427">
        <v>49922</v>
      </c>
      <c r="D427" t="s">
        <v>10</v>
      </c>
      <c r="E427" t="s">
        <v>14</v>
      </c>
      <c r="F427">
        <v>70</v>
      </c>
      <c r="G427">
        <v>0</v>
      </c>
      <c r="H427" t="str">
        <f>IF(ISBLANK(D427),IF(G427=1,VLOOKUP(E427,'Location Impute Tables'!$A$5:$J$9,10,0),VLOOKUP(E427,'Location Impute Tables'!$A$25:$J$29,10,0)),D427)</f>
        <v>Miami</v>
      </c>
      <c r="I427">
        <f>IF(ISBLANK(B427),IF(G427=1,VLOOKUP(H427,'Amount Impute Table'!$A$5:$F$9,MATCH(fraud_data!E427,'Amount Impute Table'!$B$4:$F$4,0)+1,FALSE),VLOOKUP(H427,'Amount Impute Table'!$A$16:$F$20,MATCH(E427,'Amount Impute Table'!$B$15:$F$15,0)+1,0)),B427)</f>
        <v>707.15</v>
      </c>
    </row>
    <row r="428" spans="1:9" x14ac:dyDescent="0.2">
      <c r="A428">
        <v>74</v>
      </c>
      <c r="B428">
        <v>815.65</v>
      </c>
      <c r="C428">
        <v>43125</v>
      </c>
      <c r="D428" t="s">
        <v>9</v>
      </c>
      <c r="E428" t="s">
        <v>16</v>
      </c>
      <c r="F428">
        <v>30</v>
      </c>
      <c r="G428">
        <v>0</v>
      </c>
      <c r="H428" t="str">
        <f>IF(ISBLANK(D428),IF(G428=1,VLOOKUP(E428,'Location Impute Tables'!$A$5:$J$9,10,0),VLOOKUP(E428,'Location Impute Tables'!$A$25:$J$29,10,0)),D428)</f>
        <v>Los Angeles</v>
      </c>
      <c r="I428">
        <f>IF(ISBLANK(B428),IF(G428=1,VLOOKUP(H428,'Amount Impute Table'!$A$5:$F$9,MATCH(fraud_data!E428,'Amount Impute Table'!$B$4:$F$4,0)+1,FALSE),VLOOKUP(H428,'Amount Impute Table'!$A$16:$F$20,MATCH(E428,'Amount Impute Table'!$B$15:$F$15,0)+1,0)),B428)</f>
        <v>815.65</v>
      </c>
    </row>
    <row r="429" spans="1:9" x14ac:dyDescent="0.2">
      <c r="A429">
        <v>73</v>
      </c>
      <c r="B429">
        <v>6.52</v>
      </c>
      <c r="C429">
        <v>61877</v>
      </c>
      <c r="D429" t="s">
        <v>7</v>
      </c>
      <c r="E429" t="s">
        <v>11</v>
      </c>
      <c r="F429">
        <v>42</v>
      </c>
      <c r="G429">
        <v>0</v>
      </c>
      <c r="H429" t="str">
        <f>IF(ISBLANK(D429),IF(G429=1,VLOOKUP(E429,'Location Impute Tables'!$A$5:$J$9,10,0),VLOOKUP(E429,'Location Impute Tables'!$A$25:$J$29,10,0)),D429)</f>
        <v>Chicago</v>
      </c>
      <c r="I429">
        <f>IF(ISBLANK(B429),IF(G429=1,VLOOKUP(H429,'Amount Impute Table'!$A$5:$F$9,MATCH(fraud_data!E429,'Amount Impute Table'!$B$4:$F$4,0)+1,FALSE),VLOOKUP(H429,'Amount Impute Table'!$A$16:$F$20,MATCH(E429,'Amount Impute Table'!$B$15:$F$15,0)+1,0)),B429)</f>
        <v>6.52</v>
      </c>
    </row>
    <row r="430" spans="1:9" x14ac:dyDescent="0.2">
      <c r="A430">
        <v>72</v>
      </c>
      <c r="B430">
        <v>199.52</v>
      </c>
      <c r="C430">
        <v>58017</v>
      </c>
      <c r="D430" t="s">
        <v>10</v>
      </c>
      <c r="E430" t="s">
        <v>12</v>
      </c>
      <c r="F430">
        <v>23</v>
      </c>
      <c r="G430">
        <v>0</v>
      </c>
      <c r="H430" t="str">
        <f>IF(ISBLANK(D430),IF(G430=1,VLOOKUP(E430,'Location Impute Tables'!$A$5:$J$9,10,0),VLOOKUP(E430,'Location Impute Tables'!$A$25:$J$29,10,0)),D430)</f>
        <v>Miami</v>
      </c>
      <c r="I430">
        <f>IF(ISBLANK(B430),IF(G430=1,VLOOKUP(H430,'Amount Impute Table'!$A$5:$F$9,MATCH(fraud_data!E430,'Amount Impute Table'!$B$4:$F$4,0)+1,FALSE),VLOOKUP(H430,'Amount Impute Table'!$A$16:$F$20,MATCH(E430,'Amount Impute Table'!$B$15:$F$15,0)+1,0)),B430)</f>
        <v>199.52</v>
      </c>
    </row>
    <row r="431" spans="1:9" x14ac:dyDescent="0.2">
      <c r="A431">
        <v>71</v>
      </c>
      <c r="C431">
        <v>14489</v>
      </c>
      <c r="E431" t="s">
        <v>11</v>
      </c>
      <c r="F431">
        <v>58</v>
      </c>
      <c r="G431">
        <v>0</v>
      </c>
      <c r="H431" t="str">
        <f>IF(ISBLANK(D431),IF(G431=1,VLOOKUP(E431,'Location Impute Tables'!$A$5:$J$9,10,0),VLOOKUP(E431,'Location Impute Tables'!$A$25:$J$29,10,0)),D431)</f>
        <v>Chicago</v>
      </c>
      <c r="I431">
        <f>IF(ISBLANK(B431),IF(G431=1,VLOOKUP(H431,'Amount Impute Table'!$A$5:$F$9,MATCH(fraud_data!E431,'Amount Impute Table'!$B$4:$F$4,0)+1,FALSE),VLOOKUP(H431,'Amount Impute Table'!$A$16:$F$20,MATCH(E431,'Amount Impute Table'!$B$15:$F$15,0)+1,0)),B431)</f>
        <v>1308.6254845888443</v>
      </c>
    </row>
    <row r="432" spans="1:9" x14ac:dyDescent="0.2">
      <c r="A432">
        <v>70</v>
      </c>
      <c r="B432">
        <v>986.9</v>
      </c>
      <c r="C432">
        <v>7239</v>
      </c>
      <c r="D432" t="s">
        <v>10</v>
      </c>
      <c r="E432" t="s">
        <v>14</v>
      </c>
      <c r="F432">
        <v>52</v>
      </c>
      <c r="G432">
        <v>0</v>
      </c>
      <c r="H432" t="str">
        <f>IF(ISBLANK(D432),IF(G432=1,VLOOKUP(E432,'Location Impute Tables'!$A$5:$J$9,10,0),VLOOKUP(E432,'Location Impute Tables'!$A$25:$J$29,10,0)),D432)</f>
        <v>Miami</v>
      </c>
      <c r="I432">
        <f>IF(ISBLANK(B432),IF(G432=1,VLOOKUP(H432,'Amount Impute Table'!$A$5:$F$9,MATCH(fraud_data!E432,'Amount Impute Table'!$B$4:$F$4,0)+1,FALSE),VLOOKUP(H432,'Amount Impute Table'!$A$16:$F$20,MATCH(E432,'Amount Impute Table'!$B$15:$F$15,0)+1,0)),B432)</f>
        <v>986.9</v>
      </c>
    </row>
    <row r="433" spans="1:9" x14ac:dyDescent="0.2">
      <c r="A433">
        <v>69</v>
      </c>
      <c r="B433">
        <v>75.48</v>
      </c>
      <c r="C433">
        <v>36187</v>
      </c>
      <c r="D433" t="s">
        <v>10</v>
      </c>
      <c r="E433" t="s">
        <v>8</v>
      </c>
      <c r="F433">
        <v>20</v>
      </c>
      <c r="G433">
        <v>0</v>
      </c>
      <c r="H433" t="str">
        <f>IF(ISBLANK(D433),IF(G433=1,VLOOKUP(E433,'Location Impute Tables'!$A$5:$J$9,10,0),VLOOKUP(E433,'Location Impute Tables'!$A$25:$J$29,10,0)),D433)</f>
        <v>Miami</v>
      </c>
      <c r="I433">
        <f>IF(ISBLANK(B433),IF(G433=1,VLOOKUP(H433,'Amount Impute Table'!$A$5:$F$9,MATCH(fraud_data!E433,'Amount Impute Table'!$B$4:$F$4,0)+1,FALSE),VLOOKUP(H433,'Amount Impute Table'!$A$16:$F$20,MATCH(E433,'Amount Impute Table'!$B$15:$F$15,0)+1,0)),B433)</f>
        <v>75.48</v>
      </c>
    </row>
    <row r="434" spans="1:9" x14ac:dyDescent="0.2">
      <c r="A434">
        <v>68</v>
      </c>
      <c r="B434">
        <v>802.39</v>
      </c>
      <c r="C434">
        <v>45543</v>
      </c>
      <c r="D434" t="s">
        <v>9</v>
      </c>
      <c r="E434" t="s">
        <v>14</v>
      </c>
      <c r="F434">
        <v>69</v>
      </c>
      <c r="G434">
        <v>0</v>
      </c>
      <c r="H434" t="str">
        <f>IF(ISBLANK(D434),IF(G434=1,VLOOKUP(E434,'Location Impute Tables'!$A$5:$J$9,10,0),VLOOKUP(E434,'Location Impute Tables'!$A$25:$J$29,10,0)),D434)</f>
        <v>Los Angeles</v>
      </c>
      <c r="I434">
        <f>IF(ISBLANK(B434),IF(G434=1,VLOOKUP(H434,'Amount Impute Table'!$A$5:$F$9,MATCH(fraud_data!E434,'Amount Impute Table'!$B$4:$F$4,0)+1,FALSE),VLOOKUP(H434,'Amount Impute Table'!$A$16:$F$20,MATCH(E434,'Amount Impute Table'!$B$15:$F$15,0)+1,0)),B434)</f>
        <v>802.39</v>
      </c>
    </row>
    <row r="435" spans="1:9" x14ac:dyDescent="0.2">
      <c r="A435">
        <v>67</v>
      </c>
      <c r="B435">
        <v>141.78</v>
      </c>
      <c r="C435">
        <v>37744</v>
      </c>
      <c r="D435" t="s">
        <v>9</v>
      </c>
      <c r="E435" t="s">
        <v>16</v>
      </c>
      <c r="F435">
        <v>78</v>
      </c>
      <c r="G435">
        <v>0</v>
      </c>
      <c r="H435" t="str">
        <f>IF(ISBLANK(D435),IF(G435=1,VLOOKUP(E435,'Location Impute Tables'!$A$5:$J$9,10,0),VLOOKUP(E435,'Location Impute Tables'!$A$25:$J$29,10,0)),D435)</f>
        <v>Los Angeles</v>
      </c>
      <c r="I435">
        <f>IF(ISBLANK(B435),IF(G435=1,VLOOKUP(H435,'Amount Impute Table'!$A$5:$F$9,MATCH(fraud_data!E435,'Amount Impute Table'!$B$4:$F$4,0)+1,FALSE),VLOOKUP(H435,'Amount Impute Table'!$A$16:$F$20,MATCH(E435,'Amount Impute Table'!$B$15:$F$15,0)+1,0)),B435)</f>
        <v>141.78</v>
      </c>
    </row>
    <row r="436" spans="1:9" x14ac:dyDescent="0.2">
      <c r="A436">
        <v>66</v>
      </c>
      <c r="B436">
        <v>543.15</v>
      </c>
      <c r="C436">
        <v>70080</v>
      </c>
      <c r="D436" t="s">
        <v>13</v>
      </c>
      <c r="E436" t="s">
        <v>16</v>
      </c>
      <c r="F436">
        <v>63</v>
      </c>
      <c r="G436">
        <v>0</v>
      </c>
      <c r="H436" t="str">
        <f>IF(ISBLANK(D436),IF(G436=1,VLOOKUP(E436,'Location Impute Tables'!$A$5:$J$9,10,0),VLOOKUP(E436,'Location Impute Tables'!$A$25:$J$29,10,0)),D436)</f>
        <v>Houston</v>
      </c>
      <c r="I436">
        <f>IF(ISBLANK(B436),IF(G436=1,VLOOKUP(H436,'Amount Impute Table'!$A$5:$F$9,MATCH(fraud_data!E436,'Amount Impute Table'!$B$4:$F$4,0)+1,FALSE),VLOOKUP(H436,'Amount Impute Table'!$A$16:$F$20,MATCH(E436,'Amount Impute Table'!$B$15:$F$15,0)+1,0)),B436)</f>
        <v>543.15</v>
      </c>
    </row>
    <row r="437" spans="1:9" x14ac:dyDescent="0.2">
      <c r="A437">
        <v>65</v>
      </c>
      <c r="B437">
        <v>281.64999999999998</v>
      </c>
      <c r="C437">
        <v>21949</v>
      </c>
      <c r="D437" t="s">
        <v>7</v>
      </c>
      <c r="E437" t="s">
        <v>12</v>
      </c>
      <c r="F437">
        <v>71</v>
      </c>
      <c r="G437">
        <v>0</v>
      </c>
      <c r="H437" t="str">
        <f>IF(ISBLANK(D437),IF(G437=1,VLOOKUP(E437,'Location Impute Tables'!$A$5:$J$9,10,0),VLOOKUP(E437,'Location Impute Tables'!$A$25:$J$29,10,0)),D437)</f>
        <v>Chicago</v>
      </c>
      <c r="I437">
        <f>IF(ISBLANK(B437),IF(G437=1,VLOOKUP(H437,'Amount Impute Table'!$A$5:$F$9,MATCH(fraud_data!E437,'Amount Impute Table'!$B$4:$F$4,0)+1,FALSE),VLOOKUP(H437,'Amount Impute Table'!$A$16:$F$20,MATCH(E437,'Amount Impute Table'!$B$15:$F$15,0)+1,0)),B437)</f>
        <v>281.64999999999998</v>
      </c>
    </row>
    <row r="438" spans="1:9" x14ac:dyDescent="0.2">
      <c r="A438">
        <v>64</v>
      </c>
      <c r="B438">
        <v>357.4</v>
      </c>
      <c r="C438">
        <v>57091</v>
      </c>
      <c r="D438" t="s">
        <v>15</v>
      </c>
      <c r="E438" t="s">
        <v>11</v>
      </c>
      <c r="F438">
        <v>33</v>
      </c>
      <c r="G438">
        <v>0</v>
      </c>
      <c r="H438" t="str">
        <f>IF(ISBLANK(D438),IF(G438=1,VLOOKUP(E438,'Location Impute Tables'!$A$5:$J$9,10,0),VLOOKUP(E438,'Location Impute Tables'!$A$25:$J$29,10,0)),D438)</f>
        <v>New York</v>
      </c>
      <c r="I438">
        <f>IF(ISBLANK(B438),IF(G438=1,VLOOKUP(H438,'Amount Impute Table'!$A$5:$F$9,MATCH(fraud_data!E438,'Amount Impute Table'!$B$4:$F$4,0)+1,FALSE),VLOOKUP(H438,'Amount Impute Table'!$A$16:$F$20,MATCH(E438,'Amount Impute Table'!$B$15:$F$15,0)+1,0)),B438)</f>
        <v>357.4</v>
      </c>
    </row>
    <row r="439" spans="1:9" x14ac:dyDescent="0.2">
      <c r="A439">
        <v>63</v>
      </c>
      <c r="B439">
        <v>828.91</v>
      </c>
      <c r="C439">
        <v>17100</v>
      </c>
      <c r="D439" t="s">
        <v>15</v>
      </c>
      <c r="E439" t="s">
        <v>12</v>
      </c>
      <c r="F439">
        <v>63</v>
      </c>
      <c r="G439">
        <v>0</v>
      </c>
      <c r="H439" t="str">
        <f>IF(ISBLANK(D439),IF(G439=1,VLOOKUP(E439,'Location Impute Tables'!$A$5:$J$9,10,0),VLOOKUP(E439,'Location Impute Tables'!$A$25:$J$29,10,0)),D439)</f>
        <v>New York</v>
      </c>
      <c r="I439">
        <f>IF(ISBLANK(B439),IF(G439=1,VLOOKUP(H439,'Amount Impute Table'!$A$5:$F$9,MATCH(fraud_data!E439,'Amount Impute Table'!$B$4:$F$4,0)+1,FALSE),VLOOKUP(H439,'Amount Impute Table'!$A$16:$F$20,MATCH(E439,'Amount Impute Table'!$B$15:$F$15,0)+1,0)),B439)</f>
        <v>828.91</v>
      </c>
    </row>
    <row r="440" spans="1:9" x14ac:dyDescent="0.2">
      <c r="A440">
        <v>62</v>
      </c>
      <c r="B440">
        <v>272.08</v>
      </c>
      <c r="C440">
        <v>53932</v>
      </c>
      <c r="D440" t="s">
        <v>10</v>
      </c>
      <c r="E440" t="s">
        <v>16</v>
      </c>
      <c r="F440">
        <v>18</v>
      </c>
      <c r="G440">
        <v>0</v>
      </c>
      <c r="H440" t="str">
        <f>IF(ISBLANK(D440),IF(G440=1,VLOOKUP(E440,'Location Impute Tables'!$A$5:$J$9,10,0),VLOOKUP(E440,'Location Impute Tables'!$A$25:$J$29,10,0)),D440)</f>
        <v>Miami</v>
      </c>
      <c r="I440">
        <f>IF(ISBLANK(B440),IF(G440=1,VLOOKUP(H440,'Amount Impute Table'!$A$5:$F$9,MATCH(fraud_data!E440,'Amount Impute Table'!$B$4:$F$4,0)+1,FALSE),VLOOKUP(H440,'Amount Impute Table'!$A$16:$F$20,MATCH(E440,'Amount Impute Table'!$B$15:$F$15,0)+1,0)),B440)</f>
        <v>272.08</v>
      </c>
    </row>
    <row r="441" spans="1:9" x14ac:dyDescent="0.2">
      <c r="A441">
        <v>61</v>
      </c>
      <c r="B441">
        <v>389.29</v>
      </c>
      <c r="C441">
        <v>45106</v>
      </c>
      <c r="D441" t="s">
        <v>9</v>
      </c>
      <c r="E441" t="s">
        <v>8</v>
      </c>
      <c r="F441">
        <v>31</v>
      </c>
      <c r="G441">
        <v>0</v>
      </c>
      <c r="H441" t="str">
        <f>IF(ISBLANK(D441),IF(G441=1,VLOOKUP(E441,'Location Impute Tables'!$A$5:$J$9,10,0),VLOOKUP(E441,'Location Impute Tables'!$A$25:$J$29,10,0)),D441)</f>
        <v>Los Angeles</v>
      </c>
      <c r="I441">
        <f>IF(ISBLANK(B441),IF(G441=1,VLOOKUP(H441,'Amount Impute Table'!$A$5:$F$9,MATCH(fraud_data!E441,'Amount Impute Table'!$B$4:$F$4,0)+1,FALSE),VLOOKUP(H441,'Amount Impute Table'!$A$16:$F$20,MATCH(E441,'Amount Impute Table'!$B$15:$F$15,0)+1,0)),B441)</f>
        <v>389.29</v>
      </c>
    </row>
    <row r="442" spans="1:9" x14ac:dyDescent="0.2">
      <c r="A442">
        <v>60</v>
      </c>
      <c r="B442">
        <v>326.01</v>
      </c>
      <c r="C442">
        <v>34816</v>
      </c>
      <c r="D442" t="s">
        <v>15</v>
      </c>
      <c r="E442" t="s">
        <v>11</v>
      </c>
      <c r="F442">
        <v>48</v>
      </c>
      <c r="G442">
        <v>0</v>
      </c>
      <c r="H442" t="str">
        <f>IF(ISBLANK(D442),IF(G442=1,VLOOKUP(E442,'Location Impute Tables'!$A$5:$J$9,10,0),VLOOKUP(E442,'Location Impute Tables'!$A$25:$J$29,10,0)),D442)</f>
        <v>New York</v>
      </c>
      <c r="I442">
        <f>IF(ISBLANK(B442),IF(G442=1,VLOOKUP(H442,'Amount Impute Table'!$A$5:$F$9,MATCH(fraud_data!E442,'Amount Impute Table'!$B$4:$F$4,0)+1,FALSE),VLOOKUP(H442,'Amount Impute Table'!$A$16:$F$20,MATCH(E442,'Amount Impute Table'!$B$15:$F$15,0)+1,0)),B442)</f>
        <v>326.01</v>
      </c>
    </row>
    <row r="443" spans="1:9" x14ac:dyDescent="0.2">
      <c r="A443">
        <v>59</v>
      </c>
      <c r="B443">
        <v>46.18</v>
      </c>
      <c r="C443">
        <v>38765</v>
      </c>
      <c r="D443" t="s">
        <v>15</v>
      </c>
      <c r="E443" t="s">
        <v>12</v>
      </c>
      <c r="F443">
        <v>53</v>
      </c>
      <c r="G443">
        <v>0</v>
      </c>
      <c r="H443" t="str">
        <f>IF(ISBLANK(D443),IF(G443=1,VLOOKUP(E443,'Location Impute Tables'!$A$5:$J$9,10,0),VLOOKUP(E443,'Location Impute Tables'!$A$25:$J$29,10,0)),D443)</f>
        <v>New York</v>
      </c>
      <c r="I443">
        <f>IF(ISBLANK(B443),IF(G443=1,VLOOKUP(H443,'Amount Impute Table'!$A$5:$F$9,MATCH(fraud_data!E443,'Amount Impute Table'!$B$4:$F$4,0)+1,FALSE),VLOOKUP(H443,'Amount Impute Table'!$A$16:$F$20,MATCH(E443,'Amount Impute Table'!$B$15:$F$15,0)+1,0)),B443)</f>
        <v>46.18</v>
      </c>
    </row>
    <row r="444" spans="1:9" x14ac:dyDescent="0.2">
      <c r="A444">
        <v>58</v>
      </c>
      <c r="B444">
        <v>196.79</v>
      </c>
      <c r="C444">
        <v>56397</v>
      </c>
      <c r="D444" t="s">
        <v>7</v>
      </c>
      <c r="E444" t="s">
        <v>12</v>
      </c>
      <c r="F444">
        <v>50</v>
      </c>
      <c r="G444">
        <v>0</v>
      </c>
      <c r="H444" t="str">
        <f>IF(ISBLANK(D444),IF(G444=1,VLOOKUP(E444,'Location Impute Tables'!$A$5:$J$9,10,0),VLOOKUP(E444,'Location Impute Tables'!$A$25:$J$29,10,0)),D444)</f>
        <v>Chicago</v>
      </c>
      <c r="I444">
        <f>IF(ISBLANK(B444),IF(G444=1,VLOOKUP(H444,'Amount Impute Table'!$A$5:$F$9,MATCH(fraud_data!E444,'Amount Impute Table'!$B$4:$F$4,0)+1,FALSE),VLOOKUP(H444,'Amount Impute Table'!$A$16:$F$20,MATCH(E444,'Amount Impute Table'!$B$15:$F$15,0)+1,0)),B444)</f>
        <v>196.79</v>
      </c>
    </row>
    <row r="445" spans="1:9" x14ac:dyDescent="0.2">
      <c r="A445">
        <v>57</v>
      </c>
      <c r="B445">
        <v>89.4</v>
      </c>
      <c r="C445">
        <v>13456</v>
      </c>
      <c r="D445" t="s">
        <v>9</v>
      </c>
      <c r="E445" t="s">
        <v>16</v>
      </c>
      <c r="F445">
        <v>71</v>
      </c>
      <c r="G445">
        <v>0</v>
      </c>
      <c r="H445" t="str">
        <f>IF(ISBLANK(D445),IF(G445=1,VLOOKUP(E445,'Location Impute Tables'!$A$5:$J$9,10,0),VLOOKUP(E445,'Location Impute Tables'!$A$25:$J$29,10,0)),D445)</f>
        <v>Los Angeles</v>
      </c>
      <c r="I445">
        <f>IF(ISBLANK(B445),IF(G445=1,VLOOKUP(H445,'Amount Impute Table'!$A$5:$F$9,MATCH(fraud_data!E445,'Amount Impute Table'!$B$4:$F$4,0)+1,FALSE),VLOOKUP(H445,'Amount Impute Table'!$A$16:$F$20,MATCH(E445,'Amount Impute Table'!$B$15:$F$15,0)+1,0)),B445)</f>
        <v>89.4</v>
      </c>
    </row>
    <row r="446" spans="1:9" x14ac:dyDescent="0.2">
      <c r="A446">
        <v>56</v>
      </c>
      <c r="B446">
        <v>921.95</v>
      </c>
      <c r="C446">
        <v>53330</v>
      </c>
      <c r="D446" t="s">
        <v>15</v>
      </c>
      <c r="E446" t="s">
        <v>16</v>
      </c>
      <c r="F446">
        <v>78</v>
      </c>
      <c r="G446">
        <v>0</v>
      </c>
      <c r="H446" t="str">
        <f>IF(ISBLANK(D446),IF(G446=1,VLOOKUP(E446,'Location Impute Tables'!$A$5:$J$9,10,0),VLOOKUP(E446,'Location Impute Tables'!$A$25:$J$29,10,0)),D446)</f>
        <v>New York</v>
      </c>
      <c r="I446">
        <f>IF(ISBLANK(B446),IF(G446=1,VLOOKUP(H446,'Amount Impute Table'!$A$5:$F$9,MATCH(fraud_data!E446,'Amount Impute Table'!$B$4:$F$4,0)+1,FALSE),VLOOKUP(H446,'Amount Impute Table'!$A$16:$F$20,MATCH(E446,'Amount Impute Table'!$B$15:$F$15,0)+1,0)),B446)</f>
        <v>921.95</v>
      </c>
    </row>
    <row r="447" spans="1:9" x14ac:dyDescent="0.2">
      <c r="A447">
        <v>55</v>
      </c>
      <c r="B447">
        <v>598.29999999999995</v>
      </c>
      <c r="C447">
        <v>32201</v>
      </c>
      <c r="D447" t="s">
        <v>7</v>
      </c>
      <c r="E447" t="s">
        <v>11</v>
      </c>
      <c r="F447">
        <v>42</v>
      </c>
      <c r="G447">
        <v>0</v>
      </c>
      <c r="H447" t="str">
        <f>IF(ISBLANK(D447),IF(G447=1,VLOOKUP(E447,'Location Impute Tables'!$A$5:$J$9,10,0),VLOOKUP(E447,'Location Impute Tables'!$A$25:$J$29,10,0)),D447)</f>
        <v>Chicago</v>
      </c>
      <c r="I447">
        <f>IF(ISBLANK(B447),IF(G447=1,VLOOKUP(H447,'Amount Impute Table'!$A$5:$F$9,MATCH(fraud_data!E447,'Amount Impute Table'!$B$4:$F$4,0)+1,FALSE),VLOOKUP(H447,'Amount Impute Table'!$A$16:$F$20,MATCH(E447,'Amount Impute Table'!$B$15:$F$15,0)+1,0)),B447)</f>
        <v>598.29999999999995</v>
      </c>
    </row>
    <row r="448" spans="1:9" x14ac:dyDescent="0.2">
      <c r="A448">
        <v>54</v>
      </c>
      <c r="B448">
        <v>894.93</v>
      </c>
      <c r="C448">
        <v>4809</v>
      </c>
      <c r="D448" t="s">
        <v>9</v>
      </c>
      <c r="E448" t="s">
        <v>11</v>
      </c>
      <c r="F448">
        <v>19</v>
      </c>
      <c r="G448">
        <v>0</v>
      </c>
      <c r="H448" t="str">
        <f>IF(ISBLANK(D448),IF(G448=1,VLOOKUP(E448,'Location Impute Tables'!$A$5:$J$9,10,0),VLOOKUP(E448,'Location Impute Tables'!$A$25:$J$29,10,0)),D448)</f>
        <v>Los Angeles</v>
      </c>
      <c r="I448">
        <f>IF(ISBLANK(B448),IF(G448=1,VLOOKUP(H448,'Amount Impute Table'!$A$5:$F$9,MATCH(fraud_data!E448,'Amount Impute Table'!$B$4:$F$4,0)+1,FALSE),VLOOKUP(H448,'Amount Impute Table'!$A$16:$F$20,MATCH(E448,'Amount Impute Table'!$B$15:$F$15,0)+1,0)),B448)</f>
        <v>894.93</v>
      </c>
    </row>
    <row r="449" spans="1:9" x14ac:dyDescent="0.2">
      <c r="A449">
        <v>53</v>
      </c>
      <c r="B449">
        <v>939.56</v>
      </c>
      <c r="C449">
        <v>10916</v>
      </c>
      <c r="D449" t="s">
        <v>15</v>
      </c>
      <c r="E449" t="s">
        <v>16</v>
      </c>
      <c r="F449">
        <v>42</v>
      </c>
      <c r="G449">
        <v>1</v>
      </c>
      <c r="H449" t="str">
        <f>IF(ISBLANK(D449),IF(G449=1,VLOOKUP(E449,'Location Impute Tables'!$A$5:$J$9,10,0),VLOOKUP(E449,'Location Impute Tables'!$A$25:$J$29,10,0)),D449)</f>
        <v>New York</v>
      </c>
      <c r="I449">
        <f>IF(ISBLANK(B449),IF(G449=1,VLOOKUP(H449,'Amount Impute Table'!$A$5:$F$9,MATCH(fraud_data!E449,'Amount Impute Table'!$B$4:$F$4,0)+1,FALSE),VLOOKUP(H449,'Amount Impute Table'!$A$16:$F$20,MATCH(E449,'Amount Impute Table'!$B$15:$F$15,0)+1,0)),B449)</f>
        <v>939.56</v>
      </c>
    </row>
    <row r="450" spans="1:9" x14ac:dyDescent="0.2">
      <c r="A450">
        <v>52</v>
      </c>
      <c r="B450">
        <v>775.36</v>
      </c>
      <c r="C450">
        <v>69172</v>
      </c>
      <c r="D450" t="s">
        <v>13</v>
      </c>
      <c r="E450" t="s">
        <v>16</v>
      </c>
      <c r="F450">
        <v>27</v>
      </c>
      <c r="G450">
        <v>0</v>
      </c>
      <c r="H450" t="str">
        <f>IF(ISBLANK(D450),IF(G450=1,VLOOKUP(E450,'Location Impute Tables'!$A$5:$J$9,10,0),VLOOKUP(E450,'Location Impute Tables'!$A$25:$J$29,10,0)),D450)</f>
        <v>Houston</v>
      </c>
      <c r="I450">
        <f>IF(ISBLANK(B450),IF(G450=1,VLOOKUP(H450,'Amount Impute Table'!$A$5:$F$9,MATCH(fraud_data!E450,'Amount Impute Table'!$B$4:$F$4,0)+1,FALSE),VLOOKUP(H450,'Amount Impute Table'!$A$16:$F$20,MATCH(E450,'Amount Impute Table'!$B$15:$F$15,0)+1,0)),B450)</f>
        <v>775.36</v>
      </c>
    </row>
    <row r="451" spans="1:9" x14ac:dyDescent="0.2">
      <c r="A451">
        <v>51</v>
      </c>
      <c r="B451">
        <v>969.62</v>
      </c>
      <c r="C451">
        <v>23524</v>
      </c>
      <c r="D451" t="s">
        <v>9</v>
      </c>
      <c r="E451" t="s">
        <v>12</v>
      </c>
      <c r="F451">
        <v>35</v>
      </c>
      <c r="G451">
        <v>0</v>
      </c>
      <c r="H451" t="str">
        <f>IF(ISBLANK(D451),IF(G451=1,VLOOKUP(E451,'Location Impute Tables'!$A$5:$J$9,10,0),VLOOKUP(E451,'Location Impute Tables'!$A$25:$J$29,10,0)),D451)</f>
        <v>Los Angeles</v>
      </c>
      <c r="I451">
        <f>IF(ISBLANK(B451),IF(G451=1,VLOOKUP(H451,'Amount Impute Table'!$A$5:$F$9,MATCH(fraud_data!E451,'Amount Impute Table'!$B$4:$F$4,0)+1,FALSE),VLOOKUP(H451,'Amount Impute Table'!$A$16:$F$20,MATCH(E451,'Amount Impute Table'!$B$15:$F$15,0)+1,0)),B451)</f>
        <v>969.62</v>
      </c>
    </row>
    <row r="452" spans="1:9" x14ac:dyDescent="0.2">
      <c r="A452">
        <v>50</v>
      </c>
      <c r="B452">
        <v>185.67</v>
      </c>
      <c r="C452">
        <v>23574</v>
      </c>
      <c r="D452" t="s">
        <v>13</v>
      </c>
      <c r="E452" t="s">
        <v>16</v>
      </c>
      <c r="F452">
        <v>37</v>
      </c>
      <c r="G452">
        <v>1</v>
      </c>
      <c r="H452" t="str">
        <f>IF(ISBLANK(D452),IF(G452=1,VLOOKUP(E452,'Location Impute Tables'!$A$5:$J$9,10,0),VLOOKUP(E452,'Location Impute Tables'!$A$25:$J$29,10,0)),D452)</f>
        <v>Houston</v>
      </c>
      <c r="I452">
        <f>IF(ISBLANK(B452),IF(G452=1,VLOOKUP(H452,'Amount Impute Table'!$A$5:$F$9,MATCH(fraud_data!E452,'Amount Impute Table'!$B$4:$F$4,0)+1,FALSE),VLOOKUP(H452,'Amount Impute Table'!$A$16:$F$20,MATCH(E452,'Amount Impute Table'!$B$15:$F$15,0)+1,0)),B452)</f>
        <v>185.67</v>
      </c>
    </row>
    <row r="453" spans="1:9" x14ac:dyDescent="0.2">
      <c r="A453">
        <v>49</v>
      </c>
      <c r="B453">
        <v>547.16</v>
      </c>
      <c r="C453">
        <v>50612</v>
      </c>
      <c r="D453" t="s">
        <v>7</v>
      </c>
      <c r="E453" t="s">
        <v>12</v>
      </c>
      <c r="F453">
        <v>31</v>
      </c>
      <c r="G453">
        <v>0</v>
      </c>
      <c r="H453" t="str">
        <f>IF(ISBLANK(D453),IF(G453=1,VLOOKUP(E453,'Location Impute Tables'!$A$5:$J$9,10,0),VLOOKUP(E453,'Location Impute Tables'!$A$25:$J$29,10,0)),D453)</f>
        <v>Chicago</v>
      </c>
      <c r="I453">
        <f>IF(ISBLANK(B453),IF(G453=1,VLOOKUP(H453,'Amount Impute Table'!$A$5:$F$9,MATCH(fraud_data!E453,'Amount Impute Table'!$B$4:$F$4,0)+1,FALSE),VLOOKUP(H453,'Amount Impute Table'!$A$16:$F$20,MATCH(E453,'Amount Impute Table'!$B$15:$F$15,0)+1,0)),B453)</f>
        <v>547.16</v>
      </c>
    </row>
    <row r="454" spans="1:9" x14ac:dyDescent="0.2">
      <c r="A454">
        <v>48</v>
      </c>
      <c r="B454">
        <v>520.54999999999995</v>
      </c>
      <c r="C454">
        <v>80642</v>
      </c>
      <c r="D454" t="s">
        <v>13</v>
      </c>
      <c r="E454" t="s">
        <v>8</v>
      </c>
      <c r="F454">
        <v>35</v>
      </c>
      <c r="G454">
        <v>0</v>
      </c>
      <c r="H454" t="str">
        <f>IF(ISBLANK(D454),IF(G454=1,VLOOKUP(E454,'Location Impute Tables'!$A$5:$J$9,10,0),VLOOKUP(E454,'Location Impute Tables'!$A$25:$J$29,10,0)),D454)</f>
        <v>Houston</v>
      </c>
      <c r="I454">
        <f>IF(ISBLANK(B454),IF(G454=1,VLOOKUP(H454,'Amount Impute Table'!$A$5:$F$9,MATCH(fraud_data!E454,'Amount Impute Table'!$B$4:$F$4,0)+1,FALSE),VLOOKUP(H454,'Amount Impute Table'!$A$16:$F$20,MATCH(E454,'Amount Impute Table'!$B$15:$F$15,0)+1,0)),B454)</f>
        <v>520.54999999999995</v>
      </c>
    </row>
    <row r="455" spans="1:9" x14ac:dyDescent="0.2">
      <c r="A455">
        <v>47</v>
      </c>
      <c r="B455">
        <v>312.39999999999998</v>
      </c>
      <c r="C455">
        <v>9860</v>
      </c>
      <c r="D455" t="s">
        <v>10</v>
      </c>
      <c r="E455" t="s">
        <v>8</v>
      </c>
      <c r="F455">
        <v>52</v>
      </c>
      <c r="G455">
        <v>1</v>
      </c>
      <c r="H455" t="str">
        <f>IF(ISBLANK(D455),IF(G455=1,VLOOKUP(E455,'Location Impute Tables'!$A$5:$J$9,10,0),VLOOKUP(E455,'Location Impute Tables'!$A$25:$J$29,10,0)),D455)</f>
        <v>Miami</v>
      </c>
      <c r="I455">
        <f>IF(ISBLANK(B455),IF(G455=1,VLOOKUP(H455,'Amount Impute Table'!$A$5:$F$9,MATCH(fraud_data!E455,'Amount Impute Table'!$B$4:$F$4,0)+1,FALSE),VLOOKUP(H455,'Amount Impute Table'!$A$16:$F$20,MATCH(E455,'Amount Impute Table'!$B$15:$F$15,0)+1,0)),B455)</f>
        <v>312.39999999999998</v>
      </c>
    </row>
    <row r="456" spans="1:9" x14ac:dyDescent="0.2">
      <c r="A456">
        <v>46</v>
      </c>
      <c r="B456">
        <v>662.86</v>
      </c>
      <c r="C456">
        <v>60100</v>
      </c>
      <c r="D456" t="s">
        <v>9</v>
      </c>
      <c r="E456" t="s">
        <v>8</v>
      </c>
      <c r="F456">
        <v>19</v>
      </c>
      <c r="G456">
        <v>0</v>
      </c>
      <c r="H456" t="str">
        <f>IF(ISBLANK(D456),IF(G456=1,VLOOKUP(E456,'Location Impute Tables'!$A$5:$J$9,10,0),VLOOKUP(E456,'Location Impute Tables'!$A$25:$J$29,10,0)),D456)</f>
        <v>Los Angeles</v>
      </c>
      <c r="I456">
        <f>IF(ISBLANK(B456),IF(G456=1,VLOOKUP(H456,'Amount Impute Table'!$A$5:$F$9,MATCH(fraud_data!E456,'Amount Impute Table'!$B$4:$F$4,0)+1,FALSE),VLOOKUP(H456,'Amount Impute Table'!$A$16:$F$20,MATCH(E456,'Amount Impute Table'!$B$15:$F$15,0)+1,0)),B456)</f>
        <v>662.86</v>
      </c>
    </row>
    <row r="457" spans="1:9" x14ac:dyDescent="0.2">
      <c r="A457">
        <v>45</v>
      </c>
      <c r="B457">
        <v>259.52</v>
      </c>
      <c r="C457">
        <v>18384</v>
      </c>
      <c r="D457" t="s">
        <v>15</v>
      </c>
      <c r="E457" t="s">
        <v>11</v>
      </c>
      <c r="F457">
        <v>44</v>
      </c>
      <c r="G457">
        <v>0</v>
      </c>
      <c r="H457" t="str">
        <f>IF(ISBLANK(D457),IF(G457=1,VLOOKUP(E457,'Location Impute Tables'!$A$5:$J$9,10,0),VLOOKUP(E457,'Location Impute Tables'!$A$25:$J$29,10,0)),D457)</f>
        <v>New York</v>
      </c>
      <c r="I457">
        <f>IF(ISBLANK(B457),IF(G457=1,VLOOKUP(H457,'Amount Impute Table'!$A$5:$F$9,MATCH(fraud_data!E457,'Amount Impute Table'!$B$4:$F$4,0)+1,FALSE),VLOOKUP(H457,'Amount Impute Table'!$A$16:$F$20,MATCH(E457,'Amount Impute Table'!$B$15:$F$15,0)+1,0)),B457)</f>
        <v>259.52</v>
      </c>
    </row>
    <row r="458" spans="1:9" x14ac:dyDescent="0.2">
      <c r="A458">
        <v>44</v>
      </c>
      <c r="B458">
        <v>909.41</v>
      </c>
      <c r="C458">
        <v>12763</v>
      </c>
      <c r="D458" t="s">
        <v>10</v>
      </c>
      <c r="E458" t="s">
        <v>11</v>
      </c>
      <c r="F458">
        <v>19</v>
      </c>
      <c r="G458">
        <v>0</v>
      </c>
      <c r="H458" t="str">
        <f>IF(ISBLANK(D458),IF(G458=1,VLOOKUP(E458,'Location Impute Tables'!$A$5:$J$9,10,0),VLOOKUP(E458,'Location Impute Tables'!$A$25:$J$29,10,0)),D458)</f>
        <v>Miami</v>
      </c>
      <c r="I458">
        <f>IF(ISBLANK(B458),IF(G458=1,VLOOKUP(H458,'Amount Impute Table'!$A$5:$F$9,MATCH(fraud_data!E458,'Amount Impute Table'!$B$4:$F$4,0)+1,FALSE),VLOOKUP(H458,'Amount Impute Table'!$A$16:$F$20,MATCH(E458,'Amount Impute Table'!$B$15:$F$15,0)+1,0)),B458)</f>
        <v>909.41</v>
      </c>
    </row>
    <row r="459" spans="1:9" x14ac:dyDescent="0.2">
      <c r="A459">
        <v>43</v>
      </c>
      <c r="B459">
        <v>35.35</v>
      </c>
      <c r="C459">
        <v>29189</v>
      </c>
      <c r="D459" t="s">
        <v>10</v>
      </c>
      <c r="E459" t="s">
        <v>14</v>
      </c>
      <c r="F459">
        <v>52</v>
      </c>
      <c r="G459">
        <v>0</v>
      </c>
      <c r="H459" t="str">
        <f>IF(ISBLANK(D459),IF(G459=1,VLOOKUP(E459,'Location Impute Tables'!$A$5:$J$9,10,0),VLOOKUP(E459,'Location Impute Tables'!$A$25:$J$29,10,0)),D459)</f>
        <v>Miami</v>
      </c>
      <c r="I459">
        <f>IF(ISBLANK(B459),IF(G459=1,VLOOKUP(H459,'Amount Impute Table'!$A$5:$F$9,MATCH(fraud_data!E459,'Amount Impute Table'!$B$4:$F$4,0)+1,FALSE),VLOOKUP(H459,'Amount Impute Table'!$A$16:$F$20,MATCH(E459,'Amount Impute Table'!$B$15:$F$15,0)+1,0)),B459)</f>
        <v>35.35</v>
      </c>
    </row>
    <row r="460" spans="1:9" x14ac:dyDescent="0.2">
      <c r="A460">
        <v>42</v>
      </c>
      <c r="B460">
        <v>495.68</v>
      </c>
      <c r="C460">
        <v>47926</v>
      </c>
      <c r="E460" t="s">
        <v>11</v>
      </c>
      <c r="G460">
        <v>0</v>
      </c>
      <c r="H460" t="str">
        <f>IF(ISBLANK(D460),IF(G460=1,VLOOKUP(E460,'Location Impute Tables'!$A$5:$J$9,10,0),VLOOKUP(E460,'Location Impute Tables'!$A$25:$J$29,10,0)),D460)</f>
        <v>Chicago</v>
      </c>
      <c r="I460">
        <f>IF(ISBLANK(B460),IF(G460=1,VLOOKUP(H460,'Amount Impute Table'!$A$5:$F$9,MATCH(fraud_data!E460,'Amount Impute Table'!$B$4:$F$4,0)+1,FALSE),VLOOKUP(H460,'Amount Impute Table'!$A$16:$F$20,MATCH(E460,'Amount Impute Table'!$B$15:$F$15,0)+1,0)),B460)</f>
        <v>495.68</v>
      </c>
    </row>
    <row r="461" spans="1:9" x14ac:dyDescent="0.2">
      <c r="A461">
        <v>41</v>
      </c>
      <c r="B461">
        <v>122.92</v>
      </c>
      <c r="C461">
        <v>40943</v>
      </c>
      <c r="D461" t="s">
        <v>13</v>
      </c>
      <c r="E461" t="s">
        <v>8</v>
      </c>
      <c r="F461">
        <v>32</v>
      </c>
      <c r="G461">
        <v>0</v>
      </c>
      <c r="H461" t="str">
        <f>IF(ISBLANK(D461),IF(G461=1,VLOOKUP(E461,'Location Impute Tables'!$A$5:$J$9,10,0),VLOOKUP(E461,'Location Impute Tables'!$A$25:$J$29,10,0)),D461)</f>
        <v>Houston</v>
      </c>
      <c r="I461">
        <f>IF(ISBLANK(B461),IF(G461=1,VLOOKUP(H461,'Amount Impute Table'!$A$5:$F$9,MATCH(fraud_data!E461,'Amount Impute Table'!$B$4:$F$4,0)+1,FALSE),VLOOKUP(H461,'Amount Impute Table'!$A$16:$F$20,MATCH(E461,'Amount Impute Table'!$B$15:$F$15,0)+1,0)),B461)</f>
        <v>122.92</v>
      </c>
    </row>
    <row r="462" spans="1:9" x14ac:dyDescent="0.2">
      <c r="A462">
        <v>40</v>
      </c>
      <c r="B462">
        <v>440.71</v>
      </c>
      <c r="C462">
        <v>404</v>
      </c>
      <c r="D462" t="s">
        <v>7</v>
      </c>
      <c r="E462" t="s">
        <v>16</v>
      </c>
      <c r="F462">
        <v>26</v>
      </c>
      <c r="G462">
        <v>0</v>
      </c>
      <c r="H462" t="str">
        <f>IF(ISBLANK(D462),IF(G462=1,VLOOKUP(E462,'Location Impute Tables'!$A$5:$J$9,10,0),VLOOKUP(E462,'Location Impute Tables'!$A$25:$J$29,10,0)),D462)</f>
        <v>Chicago</v>
      </c>
      <c r="I462">
        <f>IF(ISBLANK(B462),IF(G462=1,VLOOKUP(H462,'Amount Impute Table'!$A$5:$F$9,MATCH(fraud_data!E462,'Amount Impute Table'!$B$4:$F$4,0)+1,FALSE),VLOOKUP(H462,'Amount Impute Table'!$A$16:$F$20,MATCH(E462,'Amount Impute Table'!$B$15:$F$15,0)+1,0)),B462)</f>
        <v>440.71</v>
      </c>
    </row>
    <row r="463" spans="1:9" x14ac:dyDescent="0.2">
      <c r="A463">
        <v>39</v>
      </c>
      <c r="C463">
        <v>384</v>
      </c>
      <c r="D463" t="s">
        <v>9</v>
      </c>
      <c r="E463" t="s">
        <v>12</v>
      </c>
      <c r="F463">
        <v>31</v>
      </c>
      <c r="G463">
        <v>0</v>
      </c>
      <c r="H463" t="str">
        <f>IF(ISBLANK(D463),IF(G463=1,VLOOKUP(E463,'Location Impute Tables'!$A$5:$J$9,10,0),VLOOKUP(E463,'Location Impute Tables'!$A$25:$J$29,10,0)),D463)</f>
        <v>Los Angeles</v>
      </c>
      <c r="I463">
        <f>IF(ISBLANK(B463),IF(G463=1,VLOOKUP(H463,'Amount Impute Table'!$A$5:$F$9,MATCH(fraud_data!E463,'Amount Impute Table'!$B$4:$F$4,0)+1,FALSE),VLOOKUP(H463,'Amount Impute Table'!$A$16:$F$20,MATCH(E463,'Amount Impute Table'!$B$15:$F$15,0)+1,0)),B463)</f>
        <v>490.47250000000003</v>
      </c>
    </row>
    <row r="464" spans="1:9" x14ac:dyDescent="0.2">
      <c r="A464">
        <v>38</v>
      </c>
      <c r="B464">
        <v>98.57</v>
      </c>
      <c r="C464">
        <v>8702</v>
      </c>
      <c r="D464" t="s">
        <v>9</v>
      </c>
      <c r="E464" t="s">
        <v>12</v>
      </c>
      <c r="F464">
        <v>69</v>
      </c>
      <c r="G464">
        <v>0</v>
      </c>
      <c r="H464" t="str">
        <f>IF(ISBLANK(D464),IF(G464=1,VLOOKUP(E464,'Location Impute Tables'!$A$5:$J$9,10,0),VLOOKUP(E464,'Location Impute Tables'!$A$25:$J$29,10,0)),D464)</f>
        <v>Los Angeles</v>
      </c>
      <c r="I464">
        <f>IF(ISBLANK(B464),IF(G464=1,VLOOKUP(H464,'Amount Impute Table'!$A$5:$F$9,MATCH(fraud_data!E464,'Amount Impute Table'!$B$4:$F$4,0)+1,FALSE),VLOOKUP(H464,'Amount Impute Table'!$A$16:$F$20,MATCH(E464,'Amount Impute Table'!$B$15:$F$15,0)+1,0)),B464)</f>
        <v>98.57</v>
      </c>
    </row>
    <row r="465" spans="1:9" x14ac:dyDescent="0.2">
      <c r="A465">
        <v>37</v>
      </c>
      <c r="B465">
        <v>305.31</v>
      </c>
      <c r="C465">
        <v>75880</v>
      </c>
      <c r="E465" t="s">
        <v>12</v>
      </c>
      <c r="F465">
        <v>24</v>
      </c>
      <c r="G465">
        <v>0</v>
      </c>
      <c r="H465" t="str">
        <f>IF(ISBLANK(D465),IF(G465=1,VLOOKUP(E465,'Location Impute Tables'!$A$5:$J$9,10,0),VLOOKUP(E465,'Location Impute Tables'!$A$25:$J$29,10,0)),D465)</f>
        <v>Miami</v>
      </c>
      <c r="I465">
        <f>IF(ISBLANK(B465),IF(G465=1,VLOOKUP(H465,'Amount Impute Table'!$A$5:$F$9,MATCH(fraud_data!E465,'Amount Impute Table'!$B$4:$F$4,0)+1,FALSE),VLOOKUP(H465,'Amount Impute Table'!$A$16:$F$20,MATCH(E465,'Amount Impute Table'!$B$15:$F$15,0)+1,0)),B465)</f>
        <v>305.31</v>
      </c>
    </row>
    <row r="466" spans="1:9" x14ac:dyDescent="0.2">
      <c r="A466">
        <v>36</v>
      </c>
      <c r="B466">
        <v>808.59</v>
      </c>
      <c r="C466">
        <v>18017</v>
      </c>
      <c r="D466" t="s">
        <v>13</v>
      </c>
      <c r="E466" t="s">
        <v>12</v>
      </c>
      <c r="F466">
        <v>33</v>
      </c>
      <c r="G466">
        <v>0</v>
      </c>
      <c r="H466" t="str">
        <f>IF(ISBLANK(D466),IF(G466=1,VLOOKUP(E466,'Location Impute Tables'!$A$5:$J$9,10,0),VLOOKUP(E466,'Location Impute Tables'!$A$25:$J$29,10,0)),D466)</f>
        <v>Houston</v>
      </c>
      <c r="I466">
        <f>IF(ISBLANK(B466),IF(G466=1,VLOOKUP(H466,'Amount Impute Table'!$A$5:$F$9,MATCH(fraud_data!E466,'Amount Impute Table'!$B$4:$F$4,0)+1,FALSE),VLOOKUP(H466,'Amount Impute Table'!$A$16:$F$20,MATCH(E466,'Amount Impute Table'!$B$15:$F$15,0)+1,0)),B466)</f>
        <v>808.59</v>
      </c>
    </row>
    <row r="467" spans="1:9" x14ac:dyDescent="0.2">
      <c r="A467">
        <v>35</v>
      </c>
      <c r="B467">
        <v>965.67</v>
      </c>
      <c r="C467">
        <v>20384</v>
      </c>
      <c r="D467" t="s">
        <v>10</v>
      </c>
      <c r="E467" t="s">
        <v>12</v>
      </c>
      <c r="F467">
        <v>20</v>
      </c>
      <c r="G467">
        <v>0</v>
      </c>
      <c r="H467" t="str">
        <f>IF(ISBLANK(D467),IF(G467=1,VLOOKUP(E467,'Location Impute Tables'!$A$5:$J$9,10,0),VLOOKUP(E467,'Location Impute Tables'!$A$25:$J$29,10,0)),D467)</f>
        <v>Miami</v>
      </c>
      <c r="I467">
        <f>IF(ISBLANK(B467),IF(G467=1,VLOOKUP(H467,'Amount Impute Table'!$A$5:$F$9,MATCH(fraud_data!E467,'Amount Impute Table'!$B$4:$F$4,0)+1,FALSE),VLOOKUP(H467,'Amount Impute Table'!$A$16:$F$20,MATCH(E467,'Amount Impute Table'!$B$15:$F$15,0)+1,0)),B467)</f>
        <v>965.67</v>
      </c>
    </row>
    <row r="468" spans="1:9" x14ac:dyDescent="0.2">
      <c r="A468">
        <v>34</v>
      </c>
      <c r="B468">
        <v>948.94</v>
      </c>
      <c r="C468">
        <v>46540</v>
      </c>
      <c r="D468" t="s">
        <v>15</v>
      </c>
      <c r="E468" t="s">
        <v>12</v>
      </c>
      <c r="G468">
        <v>0</v>
      </c>
      <c r="H468" t="str">
        <f>IF(ISBLANK(D468),IF(G468=1,VLOOKUP(E468,'Location Impute Tables'!$A$5:$J$9,10,0),VLOOKUP(E468,'Location Impute Tables'!$A$25:$J$29,10,0)),D468)</f>
        <v>New York</v>
      </c>
      <c r="I468">
        <f>IF(ISBLANK(B468),IF(G468=1,VLOOKUP(H468,'Amount Impute Table'!$A$5:$F$9,MATCH(fraud_data!E468,'Amount Impute Table'!$B$4:$F$4,0)+1,FALSE),VLOOKUP(H468,'Amount Impute Table'!$A$16:$F$20,MATCH(E468,'Amount Impute Table'!$B$15:$F$15,0)+1,0)),B468)</f>
        <v>948.94</v>
      </c>
    </row>
    <row r="469" spans="1:9" x14ac:dyDescent="0.2">
      <c r="A469">
        <v>33</v>
      </c>
      <c r="B469">
        <v>65.989999999999995</v>
      </c>
      <c r="C469">
        <v>72474</v>
      </c>
      <c r="D469" t="s">
        <v>9</v>
      </c>
      <c r="E469" t="s">
        <v>12</v>
      </c>
      <c r="F469">
        <v>31</v>
      </c>
      <c r="G469">
        <v>0</v>
      </c>
      <c r="H469" t="str">
        <f>IF(ISBLANK(D469),IF(G469=1,VLOOKUP(E469,'Location Impute Tables'!$A$5:$J$9,10,0),VLOOKUP(E469,'Location Impute Tables'!$A$25:$J$29,10,0)),D469)</f>
        <v>Los Angeles</v>
      </c>
      <c r="I469">
        <f>IF(ISBLANK(B469),IF(G469=1,VLOOKUP(H469,'Amount Impute Table'!$A$5:$F$9,MATCH(fraud_data!E469,'Amount Impute Table'!$B$4:$F$4,0)+1,FALSE),VLOOKUP(H469,'Amount Impute Table'!$A$16:$F$20,MATCH(E469,'Amount Impute Table'!$B$15:$F$15,0)+1,0)),B469)</f>
        <v>65.989999999999995</v>
      </c>
    </row>
    <row r="470" spans="1:9" x14ac:dyDescent="0.2">
      <c r="A470">
        <v>32</v>
      </c>
      <c r="B470">
        <v>171.35</v>
      </c>
      <c r="C470">
        <v>6970</v>
      </c>
      <c r="D470" t="s">
        <v>9</v>
      </c>
      <c r="E470" t="s">
        <v>16</v>
      </c>
      <c r="F470">
        <v>47</v>
      </c>
      <c r="G470">
        <v>0</v>
      </c>
      <c r="H470" t="str">
        <f>IF(ISBLANK(D470),IF(G470=1,VLOOKUP(E470,'Location Impute Tables'!$A$5:$J$9,10,0),VLOOKUP(E470,'Location Impute Tables'!$A$25:$J$29,10,0)),D470)</f>
        <v>Los Angeles</v>
      </c>
      <c r="I470">
        <f>IF(ISBLANK(B470),IF(G470=1,VLOOKUP(H470,'Amount Impute Table'!$A$5:$F$9,MATCH(fraud_data!E470,'Amount Impute Table'!$B$4:$F$4,0)+1,FALSE),VLOOKUP(H470,'Amount Impute Table'!$A$16:$F$20,MATCH(E470,'Amount Impute Table'!$B$15:$F$15,0)+1,0)),B470)</f>
        <v>171.35</v>
      </c>
    </row>
    <row r="471" spans="1:9" x14ac:dyDescent="0.2">
      <c r="A471">
        <v>31</v>
      </c>
      <c r="B471">
        <v>607.94000000000005</v>
      </c>
      <c r="C471">
        <v>20309</v>
      </c>
      <c r="D471" t="s">
        <v>13</v>
      </c>
      <c r="E471" t="s">
        <v>14</v>
      </c>
      <c r="F471">
        <v>59</v>
      </c>
      <c r="G471">
        <v>0</v>
      </c>
      <c r="H471" t="str">
        <f>IF(ISBLANK(D471),IF(G471=1,VLOOKUP(E471,'Location Impute Tables'!$A$5:$J$9,10,0),VLOOKUP(E471,'Location Impute Tables'!$A$25:$J$29,10,0)),D471)</f>
        <v>Houston</v>
      </c>
      <c r="I471">
        <f>IF(ISBLANK(B471),IF(G471=1,VLOOKUP(H471,'Amount Impute Table'!$A$5:$F$9,MATCH(fraud_data!E471,'Amount Impute Table'!$B$4:$F$4,0)+1,FALSE),VLOOKUP(H471,'Amount Impute Table'!$A$16:$F$20,MATCH(E471,'Amount Impute Table'!$B$15:$F$15,0)+1,0)),B471)</f>
        <v>607.94000000000005</v>
      </c>
    </row>
    <row r="472" spans="1:9" x14ac:dyDescent="0.2">
      <c r="A472">
        <v>30</v>
      </c>
      <c r="B472">
        <v>47.4</v>
      </c>
      <c r="C472">
        <v>62680</v>
      </c>
      <c r="D472" t="s">
        <v>10</v>
      </c>
      <c r="E472" t="s">
        <v>8</v>
      </c>
      <c r="F472">
        <v>41</v>
      </c>
      <c r="G472">
        <v>0</v>
      </c>
      <c r="H472" t="str">
        <f>IF(ISBLANK(D472),IF(G472=1,VLOOKUP(E472,'Location Impute Tables'!$A$5:$J$9,10,0),VLOOKUP(E472,'Location Impute Tables'!$A$25:$J$29,10,0)),D472)</f>
        <v>Miami</v>
      </c>
      <c r="I472">
        <f>IF(ISBLANK(B472),IF(G472=1,VLOOKUP(H472,'Amount Impute Table'!$A$5:$F$9,MATCH(fraud_data!E472,'Amount Impute Table'!$B$4:$F$4,0)+1,FALSE),VLOOKUP(H472,'Amount Impute Table'!$A$16:$F$20,MATCH(E472,'Amount Impute Table'!$B$15:$F$15,0)+1,0)),B472)</f>
        <v>47.4</v>
      </c>
    </row>
    <row r="473" spans="1:9" x14ac:dyDescent="0.2">
      <c r="A473">
        <v>29</v>
      </c>
      <c r="B473">
        <v>592.82000000000005</v>
      </c>
      <c r="C473">
        <v>4158</v>
      </c>
      <c r="D473" t="s">
        <v>13</v>
      </c>
      <c r="E473" t="s">
        <v>14</v>
      </c>
      <c r="F473">
        <v>47</v>
      </c>
      <c r="G473">
        <v>0</v>
      </c>
      <c r="H473" t="str">
        <f>IF(ISBLANK(D473),IF(G473=1,VLOOKUP(E473,'Location Impute Tables'!$A$5:$J$9,10,0),VLOOKUP(E473,'Location Impute Tables'!$A$25:$J$29,10,0)),D473)</f>
        <v>Houston</v>
      </c>
      <c r="I473">
        <f>IF(ISBLANK(B473),IF(G473=1,VLOOKUP(H473,'Amount Impute Table'!$A$5:$F$9,MATCH(fraud_data!E473,'Amount Impute Table'!$B$4:$F$4,0)+1,FALSE),VLOOKUP(H473,'Amount Impute Table'!$A$16:$F$20,MATCH(E473,'Amount Impute Table'!$B$15:$F$15,0)+1,0)),B473)</f>
        <v>592.82000000000005</v>
      </c>
    </row>
    <row r="474" spans="1:9" x14ac:dyDescent="0.2">
      <c r="A474">
        <v>28</v>
      </c>
      <c r="B474">
        <v>514.72</v>
      </c>
      <c r="C474">
        <v>23833</v>
      </c>
      <c r="D474" t="s">
        <v>7</v>
      </c>
      <c r="E474" t="s">
        <v>8</v>
      </c>
      <c r="F474">
        <v>52</v>
      </c>
      <c r="G474">
        <v>1</v>
      </c>
      <c r="H474" t="str">
        <f>IF(ISBLANK(D474),IF(G474=1,VLOOKUP(E474,'Location Impute Tables'!$A$5:$J$9,10,0),VLOOKUP(E474,'Location Impute Tables'!$A$25:$J$29,10,0)),D474)</f>
        <v>Chicago</v>
      </c>
      <c r="I474">
        <f>IF(ISBLANK(B474),IF(G474=1,VLOOKUP(H474,'Amount Impute Table'!$A$5:$F$9,MATCH(fraud_data!E474,'Amount Impute Table'!$B$4:$F$4,0)+1,FALSE),VLOOKUP(H474,'Amount Impute Table'!$A$16:$F$20,MATCH(E474,'Amount Impute Table'!$B$15:$F$15,0)+1,0)),B474)</f>
        <v>514.72</v>
      </c>
    </row>
    <row r="475" spans="1:9" x14ac:dyDescent="0.2">
      <c r="A475">
        <v>27</v>
      </c>
      <c r="B475">
        <v>200.47</v>
      </c>
      <c r="C475">
        <v>62292</v>
      </c>
      <c r="D475" t="s">
        <v>10</v>
      </c>
      <c r="E475" t="s">
        <v>8</v>
      </c>
      <c r="F475">
        <v>62</v>
      </c>
      <c r="G475">
        <v>0</v>
      </c>
      <c r="H475" t="str">
        <f>IF(ISBLANK(D475),IF(G475=1,VLOOKUP(E475,'Location Impute Tables'!$A$5:$J$9,10,0),VLOOKUP(E475,'Location Impute Tables'!$A$25:$J$29,10,0)),D475)</f>
        <v>Miami</v>
      </c>
      <c r="I475">
        <f>IF(ISBLANK(B475),IF(G475=1,VLOOKUP(H475,'Amount Impute Table'!$A$5:$F$9,MATCH(fraud_data!E475,'Amount Impute Table'!$B$4:$F$4,0)+1,FALSE),VLOOKUP(H475,'Amount Impute Table'!$A$16:$F$20,MATCH(E475,'Amount Impute Table'!$B$15:$F$15,0)+1,0)),B475)</f>
        <v>200.47</v>
      </c>
    </row>
    <row r="476" spans="1:9" x14ac:dyDescent="0.2">
      <c r="A476">
        <v>26</v>
      </c>
      <c r="B476">
        <v>785.39</v>
      </c>
      <c r="C476">
        <v>8415</v>
      </c>
      <c r="D476" t="s">
        <v>7</v>
      </c>
      <c r="E476" t="s">
        <v>8</v>
      </c>
      <c r="F476">
        <v>35</v>
      </c>
      <c r="G476">
        <v>0</v>
      </c>
      <c r="H476" t="str">
        <f>IF(ISBLANK(D476),IF(G476=1,VLOOKUP(E476,'Location Impute Tables'!$A$5:$J$9,10,0),VLOOKUP(E476,'Location Impute Tables'!$A$25:$J$29,10,0)),D476)</f>
        <v>Chicago</v>
      </c>
      <c r="I476">
        <f>IF(ISBLANK(B476),IF(G476=1,VLOOKUP(H476,'Amount Impute Table'!$A$5:$F$9,MATCH(fraud_data!E476,'Amount Impute Table'!$B$4:$F$4,0)+1,FALSE),VLOOKUP(H476,'Amount Impute Table'!$A$16:$F$20,MATCH(E476,'Amount Impute Table'!$B$15:$F$15,0)+1,0)),B476)</f>
        <v>785.39</v>
      </c>
    </row>
    <row r="477" spans="1:9" x14ac:dyDescent="0.2">
      <c r="A477">
        <v>25</v>
      </c>
      <c r="B477">
        <v>456.61</v>
      </c>
      <c r="C477">
        <v>27712</v>
      </c>
      <c r="D477" t="s">
        <v>10</v>
      </c>
      <c r="E477" t="s">
        <v>12</v>
      </c>
      <c r="F477">
        <v>55</v>
      </c>
      <c r="G477">
        <v>0</v>
      </c>
      <c r="H477" t="str">
        <f>IF(ISBLANK(D477),IF(G477=1,VLOOKUP(E477,'Location Impute Tables'!$A$5:$J$9,10,0),VLOOKUP(E477,'Location Impute Tables'!$A$25:$J$29,10,0)),D477)</f>
        <v>Miami</v>
      </c>
      <c r="I477">
        <f>IF(ISBLANK(B477),IF(G477=1,VLOOKUP(H477,'Amount Impute Table'!$A$5:$F$9,MATCH(fraud_data!E477,'Amount Impute Table'!$B$4:$F$4,0)+1,FALSE),VLOOKUP(H477,'Amount Impute Table'!$A$16:$F$20,MATCH(E477,'Amount Impute Table'!$B$15:$F$15,0)+1,0)),B477)</f>
        <v>456.61</v>
      </c>
    </row>
    <row r="478" spans="1:9" x14ac:dyDescent="0.2">
      <c r="A478">
        <v>24</v>
      </c>
      <c r="B478">
        <v>367</v>
      </c>
      <c r="C478">
        <v>61813</v>
      </c>
      <c r="D478" t="s">
        <v>15</v>
      </c>
      <c r="E478" t="s">
        <v>8</v>
      </c>
      <c r="G478">
        <v>0</v>
      </c>
      <c r="H478" t="str">
        <f>IF(ISBLANK(D478),IF(G478=1,VLOOKUP(E478,'Location Impute Tables'!$A$5:$J$9,10,0),VLOOKUP(E478,'Location Impute Tables'!$A$25:$J$29,10,0)),D478)</f>
        <v>New York</v>
      </c>
      <c r="I478">
        <f>IF(ISBLANK(B478),IF(G478=1,VLOOKUP(H478,'Amount Impute Table'!$A$5:$F$9,MATCH(fraud_data!E478,'Amount Impute Table'!$B$4:$F$4,0)+1,FALSE),VLOOKUP(H478,'Amount Impute Table'!$A$16:$F$20,MATCH(E478,'Amount Impute Table'!$B$15:$F$15,0)+1,0)),B478)</f>
        <v>367</v>
      </c>
    </row>
    <row r="479" spans="1:9" x14ac:dyDescent="0.2">
      <c r="A479">
        <v>23</v>
      </c>
      <c r="B479">
        <v>292.85000000000002</v>
      </c>
      <c r="C479">
        <v>1015</v>
      </c>
      <c r="E479" t="s">
        <v>16</v>
      </c>
      <c r="F479">
        <v>66</v>
      </c>
      <c r="G479">
        <v>0</v>
      </c>
      <c r="H479" t="str">
        <f>IF(ISBLANK(D479),IF(G479=1,VLOOKUP(E479,'Location Impute Tables'!$A$5:$J$9,10,0),VLOOKUP(E479,'Location Impute Tables'!$A$25:$J$29,10,0)),D479)</f>
        <v>Los Angeles</v>
      </c>
      <c r="I479">
        <f>IF(ISBLANK(B479),IF(G479=1,VLOOKUP(H479,'Amount Impute Table'!$A$5:$F$9,MATCH(fraud_data!E479,'Amount Impute Table'!$B$4:$F$4,0)+1,FALSE),VLOOKUP(H479,'Amount Impute Table'!$A$16:$F$20,MATCH(E479,'Amount Impute Table'!$B$15:$F$15,0)+1,0)),B479)</f>
        <v>292.85000000000002</v>
      </c>
    </row>
    <row r="480" spans="1:9" x14ac:dyDescent="0.2">
      <c r="A480">
        <v>22</v>
      </c>
      <c r="B480">
        <v>140.35</v>
      </c>
      <c r="C480">
        <v>37892</v>
      </c>
      <c r="D480" t="s">
        <v>9</v>
      </c>
      <c r="E480" t="s">
        <v>12</v>
      </c>
      <c r="F480">
        <v>64</v>
      </c>
      <c r="G480">
        <v>0</v>
      </c>
      <c r="H480" t="str">
        <f>IF(ISBLANK(D480),IF(G480=1,VLOOKUP(E480,'Location Impute Tables'!$A$5:$J$9,10,0),VLOOKUP(E480,'Location Impute Tables'!$A$25:$J$29,10,0)),D480)</f>
        <v>Los Angeles</v>
      </c>
      <c r="I480">
        <f>IF(ISBLANK(B480),IF(G480=1,VLOOKUP(H480,'Amount Impute Table'!$A$5:$F$9,MATCH(fraud_data!E480,'Amount Impute Table'!$B$4:$F$4,0)+1,FALSE),VLOOKUP(H480,'Amount Impute Table'!$A$16:$F$20,MATCH(E480,'Amount Impute Table'!$B$15:$F$15,0)+1,0)),B480)</f>
        <v>140.35</v>
      </c>
    </row>
    <row r="481" spans="1:9" x14ac:dyDescent="0.2">
      <c r="A481">
        <v>21</v>
      </c>
      <c r="B481">
        <v>612.24</v>
      </c>
      <c r="C481">
        <v>56570</v>
      </c>
      <c r="E481" t="s">
        <v>12</v>
      </c>
      <c r="F481">
        <v>29</v>
      </c>
      <c r="G481">
        <v>0</v>
      </c>
      <c r="H481" t="str">
        <f>IF(ISBLANK(D481),IF(G481=1,VLOOKUP(E481,'Location Impute Tables'!$A$5:$J$9,10,0),VLOOKUP(E481,'Location Impute Tables'!$A$25:$J$29,10,0)),D481)</f>
        <v>Miami</v>
      </c>
      <c r="I481">
        <f>IF(ISBLANK(B481),IF(G481=1,VLOOKUP(H481,'Amount Impute Table'!$A$5:$F$9,MATCH(fraud_data!E481,'Amount Impute Table'!$B$4:$F$4,0)+1,FALSE),VLOOKUP(H481,'Amount Impute Table'!$A$16:$F$20,MATCH(E481,'Amount Impute Table'!$B$15:$F$15,0)+1,0)),B481)</f>
        <v>612.24</v>
      </c>
    </row>
    <row r="482" spans="1:9" x14ac:dyDescent="0.2">
      <c r="A482">
        <v>20</v>
      </c>
      <c r="B482">
        <v>291.94</v>
      </c>
      <c r="C482">
        <v>23793</v>
      </c>
      <c r="D482" t="s">
        <v>10</v>
      </c>
      <c r="E482" t="s">
        <v>8</v>
      </c>
      <c r="F482">
        <v>59</v>
      </c>
      <c r="G482">
        <v>0</v>
      </c>
      <c r="H482" t="str">
        <f>IF(ISBLANK(D482),IF(G482=1,VLOOKUP(E482,'Location Impute Tables'!$A$5:$J$9,10,0),VLOOKUP(E482,'Location Impute Tables'!$A$25:$J$29,10,0)),D482)</f>
        <v>Miami</v>
      </c>
      <c r="I482">
        <f>IF(ISBLANK(B482),IF(G482=1,VLOOKUP(H482,'Amount Impute Table'!$A$5:$F$9,MATCH(fraud_data!E482,'Amount Impute Table'!$B$4:$F$4,0)+1,FALSE),VLOOKUP(H482,'Amount Impute Table'!$A$16:$F$20,MATCH(E482,'Amount Impute Table'!$B$15:$F$15,0)+1,0)),B482)</f>
        <v>291.94</v>
      </c>
    </row>
    <row r="483" spans="1:9" x14ac:dyDescent="0.2">
      <c r="A483">
        <v>19</v>
      </c>
      <c r="B483">
        <v>7661.4593797572697</v>
      </c>
      <c r="C483">
        <v>58141</v>
      </c>
      <c r="D483" t="s">
        <v>13</v>
      </c>
      <c r="E483" t="s">
        <v>16</v>
      </c>
      <c r="F483">
        <v>69</v>
      </c>
      <c r="G483">
        <v>0</v>
      </c>
      <c r="H483" t="str">
        <f>IF(ISBLANK(D483),IF(G483=1,VLOOKUP(E483,'Location Impute Tables'!$A$5:$J$9,10,0),VLOOKUP(E483,'Location Impute Tables'!$A$25:$J$29,10,0)),D483)</f>
        <v>Houston</v>
      </c>
      <c r="I483">
        <f>IF(ISBLANK(B483),IF(G483=1,VLOOKUP(H483,'Amount Impute Table'!$A$5:$F$9,MATCH(fraud_data!E483,'Amount Impute Table'!$B$4:$F$4,0)+1,FALSE),VLOOKUP(H483,'Amount Impute Table'!$A$16:$F$20,MATCH(E483,'Amount Impute Table'!$B$15:$F$15,0)+1,0)),B483)</f>
        <v>7661.4593797572697</v>
      </c>
    </row>
    <row r="484" spans="1:9" x14ac:dyDescent="0.2">
      <c r="A484">
        <v>18</v>
      </c>
      <c r="B484">
        <v>525.23</v>
      </c>
      <c r="C484">
        <v>84791</v>
      </c>
      <c r="E484" t="s">
        <v>16</v>
      </c>
      <c r="F484">
        <v>54</v>
      </c>
      <c r="G484">
        <v>0</v>
      </c>
      <c r="H484" t="str">
        <f>IF(ISBLANK(D484),IF(G484=1,VLOOKUP(E484,'Location Impute Tables'!$A$5:$J$9,10,0),VLOOKUP(E484,'Location Impute Tables'!$A$25:$J$29,10,0)),D484)</f>
        <v>Los Angeles</v>
      </c>
      <c r="I484">
        <f>IF(ISBLANK(B484),IF(G484=1,VLOOKUP(H484,'Amount Impute Table'!$A$5:$F$9,MATCH(fraud_data!E484,'Amount Impute Table'!$B$4:$F$4,0)+1,FALSE),VLOOKUP(H484,'Amount Impute Table'!$A$16:$F$20,MATCH(E484,'Amount Impute Table'!$B$15:$F$15,0)+1,0)),B484)</f>
        <v>525.23</v>
      </c>
    </row>
    <row r="485" spans="1:9" x14ac:dyDescent="0.2">
      <c r="A485">
        <v>17</v>
      </c>
      <c r="B485">
        <v>304.94</v>
      </c>
      <c r="C485">
        <v>65545</v>
      </c>
      <c r="D485" t="s">
        <v>7</v>
      </c>
      <c r="E485" t="s">
        <v>8</v>
      </c>
      <c r="F485">
        <v>77</v>
      </c>
      <c r="G485">
        <v>0</v>
      </c>
      <c r="H485" t="str">
        <f>IF(ISBLANK(D485),IF(G485=1,VLOOKUP(E485,'Location Impute Tables'!$A$5:$J$9,10,0),VLOOKUP(E485,'Location Impute Tables'!$A$25:$J$29,10,0)),D485)</f>
        <v>Chicago</v>
      </c>
      <c r="I485">
        <f>IF(ISBLANK(B485),IF(G485=1,VLOOKUP(H485,'Amount Impute Table'!$A$5:$F$9,MATCH(fraud_data!E485,'Amount Impute Table'!$B$4:$F$4,0)+1,FALSE),VLOOKUP(H485,'Amount Impute Table'!$A$16:$F$20,MATCH(E485,'Amount Impute Table'!$B$15:$F$15,0)+1,0)),B485)</f>
        <v>304.94</v>
      </c>
    </row>
    <row r="486" spans="1:9" x14ac:dyDescent="0.2">
      <c r="A486">
        <v>16</v>
      </c>
      <c r="B486">
        <v>184.22</v>
      </c>
      <c r="C486">
        <v>75672</v>
      </c>
      <c r="D486" t="s">
        <v>7</v>
      </c>
      <c r="E486" t="s">
        <v>16</v>
      </c>
      <c r="F486">
        <v>39</v>
      </c>
      <c r="G486">
        <v>0</v>
      </c>
      <c r="H486" t="str">
        <f>IF(ISBLANK(D486),IF(G486=1,VLOOKUP(E486,'Location Impute Tables'!$A$5:$J$9,10,0),VLOOKUP(E486,'Location Impute Tables'!$A$25:$J$29,10,0)),D486)</f>
        <v>Chicago</v>
      </c>
      <c r="I486">
        <f>IF(ISBLANK(B486),IF(G486=1,VLOOKUP(H486,'Amount Impute Table'!$A$5:$F$9,MATCH(fraud_data!E486,'Amount Impute Table'!$B$4:$F$4,0)+1,FALSE),VLOOKUP(H486,'Amount Impute Table'!$A$16:$F$20,MATCH(E486,'Amount Impute Table'!$B$15:$F$15,0)+1,0)),B486)</f>
        <v>184.22</v>
      </c>
    </row>
    <row r="487" spans="1:9" x14ac:dyDescent="0.2">
      <c r="A487">
        <v>15</v>
      </c>
      <c r="B487">
        <v>182.64</v>
      </c>
      <c r="C487">
        <v>50990</v>
      </c>
      <c r="D487" t="s">
        <v>9</v>
      </c>
      <c r="E487" t="s">
        <v>8</v>
      </c>
      <c r="F487">
        <v>32</v>
      </c>
      <c r="G487">
        <v>0</v>
      </c>
      <c r="H487" t="str">
        <f>IF(ISBLANK(D487),IF(G487=1,VLOOKUP(E487,'Location Impute Tables'!$A$5:$J$9,10,0),VLOOKUP(E487,'Location Impute Tables'!$A$25:$J$29,10,0)),D487)</f>
        <v>Los Angeles</v>
      </c>
      <c r="I487">
        <f>IF(ISBLANK(B487),IF(G487=1,VLOOKUP(H487,'Amount Impute Table'!$A$5:$F$9,MATCH(fraud_data!E487,'Amount Impute Table'!$B$4:$F$4,0)+1,FALSE),VLOOKUP(H487,'Amount Impute Table'!$A$16:$F$20,MATCH(E487,'Amount Impute Table'!$B$15:$F$15,0)+1,0)),B487)</f>
        <v>182.64</v>
      </c>
    </row>
    <row r="488" spans="1:9" x14ac:dyDescent="0.2">
      <c r="A488">
        <v>14</v>
      </c>
      <c r="B488">
        <v>213.13</v>
      </c>
      <c r="C488">
        <v>70340</v>
      </c>
      <c r="D488" t="s">
        <v>13</v>
      </c>
      <c r="E488" t="s">
        <v>8</v>
      </c>
      <c r="G488">
        <v>0</v>
      </c>
      <c r="H488" t="str">
        <f>IF(ISBLANK(D488),IF(G488=1,VLOOKUP(E488,'Location Impute Tables'!$A$5:$J$9,10,0),VLOOKUP(E488,'Location Impute Tables'!$A$25:$J$29,10,0)),D488)</f>
        <v>Houston</v>
      </c>
      <c r="I488">
        <f>IF(ISBLANK(B488),IF(G488=1,VLOOKUP(H488,'Amount Impute Table'!$A$5:$F$9,MATCH(fraud_data!E488,'Amount Impute Table'!$B$4:$F$4,0)+1,FALSE),VLOOKUP(H488,'Amount Impute Table'!$A$16:$F$20,MATCH(E488,'Amount Impute Table'!$B$15:$F$15,0)+1,0)),B488)</f>
        <v>213.13</v>
      </c>
    </row>
    <row r="489" spans="1:9" x14ac:dyDescent="0.2">
      <c r="A489">
        <v>13</v>
      </c>
      <c r="B489">
        <v>832.61</v>
      </c>
      <c r="C489">
        <v>49407</v>
      </c>
      <c r="D489" t="s">
        <v>15</v>
      </c>
      <c r="E489" t="s">
        <v>11</v>
      </c>
      <c r="F489">
        <v>39</v>
      </c>
      <c r="G489">
        <v>0</v>
      </c>
      <c r="H489" t="str">
        <f>IF(ISBLANK(D489),IF(G489=1,VLOOKUP(E489,'Location Impute Tables'!$A$5:$J$9,10,0),VLOOKUP(E489,'Location Impute Tables'!$A$25:$J$29,10,0)),D489)</f>
        <v>New York</v>
      </c>
      <c r="I489">
        <f>IF(ISBLANK(B489),IF(G489=1,VLOOKUP(H489,'Amount Impute Table'!$A$5:$F$9,MATCH(fraud_data!E489,'Amount Impute Table'!$B$4:$F$4,0)+1,FALSE),VLOOKUP(H489,'Amount Impute Table'!$A$16:$F$20,MATCH(E489,'Amount Impute Table'!$B$15:$F$15,0)+1,0)),B489)</f>
        <v>832.61</v>
      </c>
    </row>
    <row r="490" spans="1:9" x14ac:dyDescent="0.2">
      <c r="A490">
        <v>12</v>
      </c>
      <c r="B490">
        <v>969.94</v>
      </c>
      <c r="C490">
        <v>56178</v>
      </c>
      <c r="D490" t="s">
        <v>7</v>
      </c>
      <c r="E490" t="s">
        <v>11</v>
      </c>
      <c r="F490">
        <v>52</v>
      </c>
      <c r="G490">
        <v>0</v>
      </c>
      <c r="H490" t="str">
        <f>IF(ISBLANK(D490),IF(G490=1,VLOOKUP(E490,'Location Impute Tables'!$A$5:$J$9,10,0),VLOOKUP(E490,'Location Impute Tables'!$A$25:$J$29,10,0)),D490)</f>
        <v>Chicago</v>
      </c>
      <c r="I490">
        <f>IF(ISBLANK(B490),IF(G490=1,VLOOKUP(H490,'Amount Impute Table'!$A$5:$F$9,MATCH(fraud_data!E490,'Amount Impute Table'!$B$4:$F$4,0)+1,FALSE),VLOOKUP(H490,'Amount Impute Table'!$A$16:$F$20,MATCH(E490,'Amount Impute Table'!$B$15:$F$15,0)+1,0)),B490)</f>
        <v>969.94</v>
      </c>
    </row>
    <row r="491" spans="1:9" x14ac:dyDescent="0.2">
      <c r="A491">
        <v>11</v>
      </c>
      <c r="B491">
        <v>21.56</v>
      </c>
      <c r="C491">
        <v>5713</v>
      </c>
      <c r="D491" t="s">
        <v>7</v>
      </c>
      <c r="E491" t="s">
        <v>8</v>
      </c>
      <c r="F491">
        <v>23</v>
      </c>
      <c r="G491">
        <v>0</v>
      </c>
      <c r="H491" t="str">
        <f>IF(ISBLANK(D491),IF(G491=1,VLOOKUP(E491,'Location Impute Tables'!$A$5:$J$9,10,0),VLOOKUP(E491,'Location Impute Tables'!$A$25:$J$29,10,0)),D491)</f>
        <v>Chicago</v>
      </c>
      <c r="I491">
        <f>IF(ISBLANK(B491),IF(G491=1,VLOOKUP(H491,'Amount Impute Table'!$A$5:$F$9,MATCH(fraud_data!E491,'Amount Impute Table'!$B$4:$F$4,0)+1,FALSE),VLOOKUP(H491,'Amount Impute Table'!$A$16:$F$20,MATCH(E491,'Amount Impute Table'!$B$15:$F$15,0)+1,0)),B491)</f>
        <v>21.56</v>
      </c>
    </row>
    <row r="492" spans="1:9" x14ac:dyDescent="0.2">
      <c r="A492">
        <v>10</v>
      </c>
      <c r="B492">
        <v>708.36</v>
      </c>
      <c r="C492">
        <v>45445</v>
      </c>
      <c r="D492" t="s">
        <v>10</v>
      </c>
      <c r="E492" t="s">
        <v>16</v>
      </c>
      <c r="F492">
        <v>72</v>
      </c>
      <c r="G492">
        <v>0</v>
      </c>
      <c r="H492" t="str">
        <f>IF(ISBLANK(D492),IF(G492=1,VLOOKUP(E492,'Location Impute Tables'!$A$5:$J$9,10,0),VLOOKUP(E492,'Location Impute Tables'!$A$25:$J$29,10,0)),D492)</f>
        <v>Miami</v>
      </c>
      <c r="I492">
        <f>IF(ISBLANK(B492),IF(G492=1,VLOOKUP(H492,'Amount Impute Table'!$A$5:$F$9,MATCH(fraud_data!E492,'Amount Impute Table'!$B$4:$F$4,0)+1,FALSE),VLOOKUP(H492,'Amount Impute Table'!$A$16:$F$20,MATCH(E492,'Amount Impute Table'!$B$15:$F$15,0)+1,0)),B492)</f>
        <v>708.36</v>
      </c>
    </row>
    <row r="493" spans="1:9" x14ac:dyDescent="0.2">
      <c r="A493">
        <v>9</v>
      </c>
      <c r="B493">
        <v>601.51</v>
      </c>
      <c r="C493">
        <v>34349</v>
      </c>
      <c r="D493" t="s">
        <v>15</v>
      </c>
      <c r="E493" t="s">
        <v>8</v>
      </c>
      <c r="F493">
        <v>35</v>
      </c>
      <c r="G493">
        <v>0</v>
      </c>
      <c r="H493" t="str">
        <f>IF(ISBLANK(D493),IF(G493=1,VLOOKUP(E493,'Location Impute Tables'!$A$5:$J$9,10,0),VLOOKUP(E493,'Location Impute Tables'!$A$25:$J$29,10,0)),D493)</f>
        <v>New York</v>
      </c>
      <c r="I493">
        <f>IF(ISBLANK(B493),IF(G493=1,VLOOKUP(H493,'Amount Impute Table'!$A$5:$F$9,MATCH(fraud_data!E493,'Amount Impute Table'!$B$4:$F$4,0)+1,FALSE),VLOOKUP(H493,'Amount Impute Table'!$A$16:$F$20,MATCH(E493,'Amount Impute Table'!$B$15:$F$15,0)+1,0)),B493)</f>
        <v>601.51</v>
      </c>
    </row>
    <row r="494" spans="1:9" x14ac:dyDescent="0.2">
      <c r="A494">
        <v>8</v>
      </c>
      <c r="B494">
        <v>866.31</v>
      </c>
      <c r="C494">
        <v>27532</v>
      </c>
      <c r="D494" t="s">
        <v>10</v>
      </c>
      <c r="E494" t="s">
        <v>8</v>
      </c>
      <c r="F494">
        <v>21</v>
      </c>
      <c r="G494">
        <v>0</v>
      </c>
      <c r="H494" t="str">
        <f>IF(ISBLANK(D494),IF(G494=1,VLOOKUP(E494,'Location Impute Tables'!$A$5:$J$9,10,0),VLOOKUP(E494,'Location Impute Tables'!$A$25:$J$29,10,0)),D494)</f>
        <v>Miami</v>
      </c>
      <c r="I494">
        <f>IF(ISBLANK(B494),IF(G494=1,VLOOKUP(H494,'Amount Impute Table'!$A$5:$F$9,MATCH(fraud_data!E494,'Amount Impute Table'!$B$4:$F$4,0)+1,FALSE),VLOOKUP(H494,'Amount Impute Table'!$A$16:$F$20,MATCH(E494,'Amount Impute Table'!$B$15:$F$15,0)+1,0)),B494)</f>
        <v>866.31</v>
      </c>
    </row>
    <row r="495" spans="1:9" x14ac:dyDescent="0.2">
      <c r="A495">
        <v>7</v>
      </c>
      <c r="B495">
        <v>59.03</v>
      </c>
      <c r="C495">
        <v>82844</v>
      </c>
      <c r="D495" t="s">
        <v>7</v>
      </c>
      <c r="E495" t="s">
        <v>14</v>
      </c>
      <c r="F495">
        <v>43</v>
      </c>
      <c r="G495">
        <v>0</v>
      </c>
      <c r="H495" t="str">
        <f>IF(ISBLANK(D495),IF(G495=1,VLOOKUP(E495,'Location Impute Tables'!$A$5:$J$9,10,0),VLOOKUP(E495,'Location Impute Tables'!$A$25:$J$29,10,0)),D495)</f>
        <v>Chicago</v>
      </c>
      <c r="I495">
        <f>IF(ISBLANK(B495),IF(G495=1,VLOOKUP(H495,'Amount Impute Table'!$A$5:$F$9,MATCH(fraud_data!E495,'Amount Impute Table'!$B$4:$F$4,0)+1,FALSE),VLOOKUP(H495,'Amount Impute Table'!$A$16:$F$20,MATCH(E495,'Amount Impute Table'!$B$15:$F$15,0)+1,0)),B495)</f>
        <v>59.03</v>
      </c>
    </row>
    <row r="496" spans="1:9" x14ac:dyDescent="0.2">
      <c r="A496">
        <v>6</v>
      </c>
      <c r="B496">
        <v>156.84</v>
      </c>
      <c r="C496">
        <v>35547</v>
      </c>
      <c r="D496" t="s">
        <v>7</v>
      </c>
      <c r="E496" t="s">
        <v>11</v>
      </c>
      <c r="F496">
        <v>40</v>
      </c>
      <c r="G496">
        <v>0</v>
      </c>
      <c r="H496" t="str">
        <f>IF(ISBLANK(D496),IF(G496=1,VLOOKUP(E496,'Location Impute Tables'!$A$5:$J$9,10,0),VLOOKUP(E496,'Location Impute Tables'!$A$25:$J$29,10,0)),D496)</f>
        <v>Chicago</v>
      </c>
      <c r="I496">
        <f>IF(ISBLANK(B496),IF(G496=1,VLOOKUP(H496,'Amount Impute Table'!$A$5:$F$9,MATCH(fraud_data!E496,'Amount Impute Table'!$B$4:$F$4,0)+1,FALSE),VLOOKUP(H496,'Amount Impute Table'!$A$16:$F$20,MATCH(E496,'Amount Impute Table'!$B$15:$F$15,0)+1,0)),B496)</f>
        <v>156.84</v>
      </c>
    </row>
    <row r="497" spans="1:9" x14ac:dyDescent="0.2">
      <c r="A497">
        <v>5</v>
      </c>
      <c r="B497">
        <v>156.86000000000001</v>
      </c>
      <c r="C497">
        <v>57043</v>
      </c>
      <c r="D497" t="s">
        <v>15</v>
      </c>
      <c r="E497" t="s">
        <v>12</v>
      </c>
      <c r="F497">
        <v>79</v>
      </c>
      <c r="G497">
        <v>0</v>
      </c>
      <c r="H497" t="str">
        <f>IF(ISBLANK(D497),IF(G497=1,VLOOKUP(E497,'Location Impute Tables'!$A$5:$J$9,10,0),VLOOKUP(E497,'Location Impute Tables'!$A$25:$J$29,10,0)),D497)</f>
        <v>New York</v>
      </c>
      <c r="I497">
        <f>IF(ISBLANK(B497),IF(G497=1,VLOOKUP(H497,'Amount Impute Table'!$A$5:$F$9,MATCH(fraud_data!E497,'Amount Impute Table'!$B$4:$F$4,0)+1,FALSE),VLOOKUP(H497,'Amount Impute Table'!$A$16:$F$20,MATCH(E497,'Amount Impute Table'!$B$15:$F$15,0)+1,0)),B497)</f>
        <v>156.86000000000001</v>
      </c>
    </row>
    <row r="498" spans="1:9" x14ac:dyDescent="0.2">
      <c r="A498">
        <v>4</v>
      </c>
      <c r="B498">
        <v>599.05999999999995</v>
      </c>
      <c r="C498">
        <v>55284</v>
      </c>
      <c r="D498" t="s">
        <v>15</v>
      </c>
      <c r="E498" t="s">
        <v>12</v>
      </c>
      <c r="F498">
        <v>69</v>
      </c>
      <c r="G498">
        <v>0</v>
      </c>
      <c r="H498" t="str">
        <f>IF(ISBLANK(D498),IF(G498=1,VLOOKUP(E498,'Location Impute Tables'!$A$5:$J$9,10,0),VLOOKUP(E498,'Location Impute Tables'!$A$25:$J$29,10,0)),D498)</f>
        <v>New York</v>
      </c>
      <c r="I498">
        <f>IF(ISBLANK(B498),IF(G498=1,VLOOKUP(H498,'Amount Impute Table'!$A$5:$F$9,MATCH(fraud_data!E498,'Amount Impute Table'!$B$4:$F$4,0)+1,FALSE),VLOOKUP(H498,'Amount Impute Table'!$A$16:$F$20,MATCH(E498,'Amount Impute Table'!$B$15:$F$15,0)+1,0)),B498)</f>
        <v>599.05999999999995</v>
      </c>
    </row>
    <row r="499" spans="1:9" x14ac:dyDescent="0.2">
      <c r="A499">
        <v>3</v>
      </c>
      <c r="B499">
        <v>732.26</v>
      </c>
      <c r="C499">
        <v>78752</v>
      </c>
      <c r="D499" t="s">
        <v>10</v>
      </c>
      <c r="E499" t="s">
        <v>14</v>
      </c>
      <c r="F499">
        <v>20</v>
      </c>
      <c r="G499">
        <v>0</v>
      </c>
      <c r="H499" t="str">
        <f>IF(ISBLANK(D499),IF(G499=1,VLOOKUP(E499,'Location Impute Tables'!$A$5:$J$9,10,0),VLOOKUP(E499,'Location Impute Tables'!$A$25:$J$29,10,0)),D499)</f>
        <v>Miami</v>
      </c>
      <c r="I499">
        <f>IF(ISBLANK(B499),IF(G499=1,VLOOKUP(H499,'Amount Impute Table'!$A$5:$F$9,MATCH(fraud_data!E499,'Amount Impute Table'!$B$4:$F$4,0)+1,FALSE),VLOOKUP(H499,'Amount Impute Table'!$A$16:$F$20,MATCH(E499,'Amount Impute Table'!$B$15:$F$15,0)+1,0)),B499)</f>
        <v>732.26</v>
      </c>
    </row>
    <row r="500" spans="1:9" x14ac:dyDescent="0.2">
      <c r="A500">
        <v>2</v>
      </c>
      <c r="B500">
        <v>950.76</v>
      </c>
      <c r="C500">
        <v>38088</v>
      </c>
      <c r="D500" t="s">
        <v>9</v>
      </c>
      <c r="E500" t="s">
        <v>8</v>
      </c>
      <c r="F500">
        <v>28</v>
      </c>
      <c r="G500">
        <v>0</v>
      </c>
      <c r="H500" t="str">
        <f>IF(ISBLANK(D500),IF(G500=1,VLOOKUP(E500,'Location Impute Tables'!$A$5:$J$9,10,0),VLOOKUP(E500,'Location Impute Tables'!$A$25:$J$29,10,0)),D500)</f>
        <v>Los Angeles</v>
      </c>
      <c r="I500">
        <f>IF(ISBLANK(B500),IF(G500=1,VLOOKUP(H500,'Amount Impute Table'!$A$5:$F$9,MATCH(fraud_data!E500,'Amount Impute Table'!$B$4:$F$4,0)+1,FALSE),VLOOKUP(H500,'Amount Impute Table'!$A$16:$F$20,MATCH(E500,'Amount Impute Table'!$B$15:$F$15,0)+1,0)),B500)</f>
        <v>950.76</v>
      </c>
    </row>
    <row r="501" spans="1:9" x14ac:dyDescent="0.2">
      <c r="A501">
        <v>1</v>
      </c>
      <c r="B501">
        <v>375.17</v>
      </c>
      <c r="C501">
        <v>47605</v>
      </c>
      <c r="D501" t="s">
        <v>13</v>
      </c>
      <c r="E501" t="s">
        <v>14</v>
      </c>
      <c r="F501">
        <v>18</v>
      </c>
      <c r="G501">
        <v>0</v>
      </c>
      <c r="H501" t="str">
        <f>IF(ISBLANK(D501),IF(G501=1,VLOOKUP(E501,'Location Impute Tables'!$A$5:$J$9,10,0),VLOOKUP(E501,'Location Impute Tables'!$A$25:$J$29,10,0)),D501)</f>
        <v>Houston</v>
      </c>
      <c r="I501">
        <f>IF(ISBLANK(B501),IF(G501=1,VLOOKUP(H501,'Amount Impute Table'!$A$5:$F$9,MATCH(fraud_data!E501,'Amount Impute Table'!$B$4:$F$4,0)+1,FALSE),VLOOKUP(H501,'Amount Impute Table'!$A$16:$F$20,MATCH(E501,'Amount Impute Table'!$B$15:$F$15,0)+1,0)),B501)</f>
        <v>375.17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14C4-E632-8A4F-B27A-2DE925C3C75D}">
  <dimension ref="A1:F9"/>
  <sheetViews>
    <sheetView tabSelected="1" workbookViewId="0">
      <selection activeCell="K32" sqref="K32"/>
    </sheetView>
  </sheetViews>
  <sheetFormatPr baseColWidth="10" defaultRowHeight="16" x14ac:dyDescent="0.2"/>
  <cols>
    <col min="1" max="1" width="24.5" bestFit="1" customWidth="1"/>
    <col min="2" max="2" width="16" bestFit="1" customWidth="1"/>
    <col min="3" max="3" width="10.5" bestFit="1" customWidth="1"/>
    <col min="4" max="4" width="13" bestFit="1" customWidth="1"/>
    <col min="5" max="5" width="9.33203125" bestFit="1" customWidth="1"/>
    <col min="6" max="6" width="6.6640625" bestFit="1" customWidth="1"/>
    <col min="7" max="7" width="11.1640625" bestFit="1" customWidth="1"/>
    <col min="8" max="8" width="24.5" bestFit="1" customWidth="1"/>
    <col min="9" max="9" width="11.1640625" bestFit="1" customWidth="1"/>
    <col min="10" max="10" width="24.5" bestFit="1" customWidth="1"/>
    <col min="11" max="11" width="11.1640625" bestFit="1" customWidth="1"/>
  </cols>
  <sheetData>
    <row r="1" spans="1:6" x14ac:dyDescent="0.2">
      <c r="A1" s="1" t="s">
        <v>6</v>
      </c>
      <c r="B1" s="2">
        <v>1</v>
      </c>
    </row>
    <row r="3" spans="1:6" x14ac:dyDescent="0.2">
      <c r="A3" s="1" t="s">
        <v>28</v>
      </c>
      <c r="B3" s="1" t="s">
        <v>17</v>
      </c>
    </row>
    <row r="4" spans="1:6" x14ac:dyDescent="0.2">
      <c r="A4" s="1" t="s">
        <v>19</v>
      </c>
      <c r="B4" t="s">
        <v>11</v>
      </c>
      <c r="C4" t="s">
        <v>8</v>
      </c>
      <c r="D4" t="s">
        <v>16</v>
      </c>
      <c r="E4" t="s">
        <v>12</v>
      </c>
      <c r="F4" t="s">
        <v>14</v>
      </c>
    </row>
    <row r="5" spans="1:6" x14ac:dyDescent="0.2">
      <c r="A5" s="2" t="s">
        <v>7</v>
      </c>
      <c r="B5" s="5">
        <v>216.61</v>
      </c>
      <c r="C5" s="5">
        <v>514.72</v>
      </c>
      <c r="D5" s="5">
        <v>31.47</v>
      </c>
      <c r="E5" s="5">
        <v>52.43</v>
      </c>
      <c r="F5" s="5">
        <v>892.15</v>
      </c>
    </row>
    <row r="6" spans="1:6" x14ac:dyDescent="0.2">
      <c r="A6" s="2" t="s">
        <v>13</v>
      </c>
      <c r="B6" s="5">
        <v>371.27</v>
      </c>
      <c r="C6" s="5">
        <v>860.87</v>
      </c>
      <c r="D6" s="5">
        <v>185.67</v>
      </c>
      <c r="E6" s="5" t="s">
        <v>29</v>
      </c>
      <c r="F6" s="5" t="s">
        <v>29</v>
      </c>
    </row>
    <row r="7" spans="1:6" x14ac:dyDescent="0.2">
      <c r="A7" s="2" t="s">
        <v>9</v>
      </c>
      <c r="B7" s="5">
        <v>539.79999999999995</v>
      </c>
      <c r="C7" s="5">
        <v>974.42</v>
      </c>
      <c r="D7" s="5">
        <v>714.88</v>
      </c>
      <c r="E7" s="5">
        <v>94.58</v>
      </c>
      <c r="F7" s="5">
        <v>98.08</v>
      </c>
    </row>
    <row r="8" spans="1:6" x14ac:dyDescent="0.2">
      <c r="A8" s="2" t="s">
        <v>10</v>
      </c>
      <c r="B8" s="5">
        <v>162.47</v>
      </c>
      <c r="C8" s="5">
        <v>312.39999999999998</v>
      </c>
      <c r="D8" s="5">
        <v>586.19000000000005</v>
      </c>
      <c r="E8" s="5">
        <v>756.92000000000007</v>
      </c>
      <c r="F8" s="5">
        <v>225.05</v>
      </c>
    </row>
    <row r="9" spans="1:6" x14ac:dyDescent="0.2">
      <c r="A9" s="2" t="s">
        <v>15</v>
      </c>
      <c r="B9" s="5">
        <v>360.83</v>
      </c>
      <c r="C9" s="5" t="s">
        <v>29</v>
      </c>
      <c r="D9" s="5">
        <v>939.56</v>
      </c>
      <c r="E9" s="5">
        <v>433.72</v>
      </c>
      <c r="F9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 Impute Tables</vt:lpstr>
      <vt:lpstr>Amount Impute Table</vt:lpstr>
      <vt:lpstr>fraud_data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Govila</cp:lastModifiedBy>
  <dcterms:created xsi:type="dcterms:W3CDTF">2025-11-14T18:16:02Z</dcterms:created>
  <dcterms:modified xsi:type="dcterms:W3CDTF">2025-11-17T02:45:07Z</dcterms:modified>
</cp:coreProperties>
</file>